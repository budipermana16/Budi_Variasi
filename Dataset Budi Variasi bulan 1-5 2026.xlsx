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S\Downloads\"/>
    </mc:Choice>
  </mc:AlternateContent>
  <xr:revisionPtr revIDLastSave="0" documentId="8_{DCC84DC3-6C95-449D-88E6-321826A69E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ducts" sheetId="1" r:id="rId1"/>
    <sheet name="sales" sheetId="2" r:id="rId2"/>
    <sheet name="purchases" sheetId="3" r:id="rId3"/>
    <sheet name="Supplier" sheetId="4" r:id="rId4"/>
    <sheet name="Rekap_Penjualan_Bulanan" sheetId="5" r:id="rId5"/>
    <sheet name="Rekap_Regresi_Linear" sheetId="6" r:id="rId6"/>
    <sheet name="inventory_controls" sheetId="7" r:id="rId7"/>
  </sheets>
  <definedNames>
    <definedName name="_xlnm._FilterDatabase" localSheetId="6" hidden="1">inventory_controls!$A$1:$G$26</definedName>
    <definedName name="_xlnm._FilterDatabase" localSheetId="0" hidden="1">products!$A$1:$J$26</definedName>
    <definedName name="_xlnm._FilterDatabase" localSheetId="2" hidden="1">purchases!$A$1:$F$16</definedName>
    <definedName name="_xlnm._FilterDatabase" localSheetId="4" hidden="1">Rekap_Penjualan_Bulanan!$A$1:$H$26</definedName>
    <definedName name="_xlnm._FilterDatabase" localSheetId="5" hidden="1">Rekap_Regresi_Linear!$A$1:$U$26</definedName>
    <definedName name="_xlnm._FilterDatabase" localSheetId="1" hidden="1">sales!$A$1:$F$100</definedName>
    <definedName name="_xlnm._FilterDatabase" localSheetId="3" hidden="1">Supplier!$A$4:$F$15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6" i="6" l="1"/>
  <c r="P26" i="6"/>
  <c r="K26" i="6"/>
  <c r="H26" i="6"/>
  <c r="B26" i="6"/>
  <c r="U25" i="6"/>
  <c r="P25" i="6"/>
  <c r="K25" i="6"/>
  <c r="H25" i="6"/>
  <c r="B25" i="6"/>
  <c r="U24" i="6"/>
  <c r="P24" i="6"/>
  <c r="K24" i="6"/>
  <c r="H24" i="6"/>
  <c r="B24" i="6"/>
  <c r="U23" i="6"/>
  <c r="P23" i="6"/>
  <c r="K23" i="6"/>
  <c r="H23" i="6"/>
  <c r="B23" i="6"/>
  <c r="U22" i="6"/>
  <c r="P22" i="6"/>
  <c r="K22" i="6"/>
  <c r="H22" i="6"/>
  <c r="B22" i="6"/>
  <c r="U21" i="6"/>
  <c r="P21" i="6"/>
  <c r="K21" i="6"/>
  <c r="H21" i="6"/>
  <c r="B21" i="6"/>
  <c r="U20" i="6"/>
  <c r="P20" i="6"/>
  <c r="K20" i="6"/>
  <c r="H20" i="6"/>
  <c r="B20" i="6"/>
  <c r="U19" i="6"/>
  <c r="P19" i="6"/>
  <c r="K19" i="6"/>
  <c r="H19" i="6"/>
  <c r="B19" i="6"/>
  <c r="U18" i="6"/>
  <c r="P18" i="6"/>
  <c r="K18" i="6"/>
  <c r="H18" i="6"/>
  <c r="B18" i="6"/>
  <c r="U17" i="6"/>
  <c r="P17" i="6"/>
  <c r="K17" i="6"/>
  <c r="H17" i="6"/>
  <c r="B17" i="6"/>
  <c r="U16" i="6"/>
  <c r="P16" i="6"/>
  <c r="K16" i="6"/>
  <c r="H16" i="6"/>
  <c r="B16" i="6"/>
  <c r="U15" i="6"/>
  <c r="P15" i="6"/>
  <c r="K15" i="6"/>
  <c r="H15" i="6"/>
  <c r="B15" i="6"/>
  <c r="U14" i="6"/>
  <c r="P14" i="6"/>
  <c r="K14" i="6"/>
  <c r="H14" i="6"/>
  <c r="B14" i="6"/>
  <c r="U13" i="6"/>
  <c r="P13" i="6"/>
  <c r="K13" i="6"/>
  <c r="H13" i="6"/>
  <c r="B13" i="6"/>
  <c r="U12" i="6"/>
  <c r="P12" i="6"/>
  <c r="K12" i="6"/>
  <c r="H12" i="6"/>
  <c r="B12" i="6"/>
  <c r="U11" i="6"/>
  <c r="S11" i="6"/>
  <c r="P11" i="6"/>
  <c r="K11" i="6"/>
  <c r="H11" i="6"/>
  <c r="B11" i="6"/>
  <c r="U10" i="6"/>
  <c r="S10" i="6"/>
  <c r="P10" i="6"/>
  <c r="K10" i="6"/>
  <c r="H10" i="6"/>
  <c r="B10" i="6"/>
  <c r="U9" i="6"/>
  <c r="S9" i="6"/>
  <c r="P9" i="6"/>
  <c r="K9" i="6"/>
  <c r="H9" i="6"/>
  <c r="B9" i="6"/>
  <c r="U8" i="6"/>
  <c r="P8" i="6"/>
  <c r="K8" i="6"/>
  <c r="H8" i="6"/>
  <c r="B8" i="6"/>
  <c r="U7" i="6"/>
  <c r="P7" i="6"/>
  <c r="K7" i="6"/>
  <c r="H7" i="6"/>
  <c r="B7" i="6"/>
  <c r="U6" i="6"/>
  <c r="P6" i="6"/>
  <c r="K6" i="6"/>
  <c r="H6" i="6"/>
  <c r="B6" i="6"/>
  <c r="U5" i="6"/>
  <c r="P5" i="6"/>
  <c r="K5" i="6"/>
  <c r="H5" i="6"/>
  <c r="B5" i="6"/>
  <c r="U4" i="6"/>
  <c r="P4" i="6"/>
  <c r="K4" i="6"/>
  <c r="H4" i="6"/>
  <c r="B4" i="6"/>
  <c r="U3" i="6"/>
  <c r="P3" i="6"/>
  <c r="K3" i="6"/>
  <c r="H3" i="6"/>
  <c r="B3" i="6"/>
  <c r="U2" i="6"/>
  <c r="P2" i="6"/>
  <c r="K2" i="6"/>
  <c r="H2" i="6"/>
  <c r="B2" i="6"/>
  <c r="G26" i="5"/>
  <c r="G26" i="6" s="1"/>
  <c r="F26" i="5"/>
  <c r="F26" i="6" s="1"/>
  <c r="E26" i="5"/>
  <c r="E26" i="6" s="1"/>
  <c r="D26" i="5"/>
  <c r="D26" i="6" s="1"/>
  <c r="C26" i="5"/>
  <c r="B26" i="5"/>
  <c r="G25" i="5"/>
  <c r="G25" i="6" s="1"/>
  <c r="F25" i="5"/>
  <c r="F25" i="6" s="1"/>
  <c r="E25" i="5"/>
  <c r="E25" i="6" s="1"/>
  <c r="D25" i="5"/>
  <c r="D25" i="6" s="1"/>
  <c r="C25" i="5"/>
  <c r="B25" i="5"/>
  <c r="G24" i="5"/>
  <c r="G24" i="6" s="1"/>
  <c r="F24" i="5"/>
  <c r="F24" i="6" s="1"/>
  <c r="E24" i="5"/>
  <c r="E24" i="6" s="1"/>
  <c r="D24" i="5"/>
  <c r="D24" i="6" s="1"/>
  <c r="C24" i="5"/>
  <c r="B24" i="5"/>
  <c r="G23" i="5"/>
  <c r="G23" i="6" s="1"/>
  <c r="F23" i="5"/>
  <c r="F23" i="6" s="1"/>
  <c r="E23" i="5"/>
  <c r="E23" i="6" s="1"/>
  <c r="D23" i="5"/>
  <c r="D23" i="6" s="1"/>
  <c r="C23" i="5"/>
  <c r="B23" i="5"/>
  <c r="G22" i="5"/>
  <c r="G22" i="6" s="1"/>
  <c r="F22" i="5"/>
  <c r="F22" i="6" s="1"/>
  <c r="E22" i="5"/>
  <c r="E22" i="6" s="1"/>
  <c r="D22" i="5"/>
  <c r="D22" i="6" s="1"/>
  <c r="C22" i="5"/>
  <c r="B22" i="5"/>
  <c r="G21" i="5"/>
  <c r="G21" i="6" s="1"/>
  <c r="F21" i="5"/>
  <c r="F21" i="6" s="1"/>
  <c r="E21" i="5"/>
  <c r="E21" i="6" s="1"/>
  <c r="D21" i="5"/>
  <c r="D21" i="6" s="1"/>
  <c r="C21" i="5"/>
  <c r="B21" i="5"/>
  <c r="G20" i="5"/>
  <c r="G20" i="6" s="1"/>
  <c r="F20" i="5"/>
  <c r="F20" i="6" s="1"/>
  <c r="E20" i="5"/>
  <c r="E20" i="6" s="1"/>
  <c r="D20" i="5"/>
  <c r="D20" i="6" s="1"/>
  <c r="C20" i="5"/>
  <c r="B20" i="5"/>
  <c r="G19" i="5"/>
  <c r="G19" i="6" s="1"/>
  <c r="F19" i="5"/>
  <c r="F19" i="6" s="1"/>
  <c r="E19" i="5"/>
  <c r="E19" i="6" s="1"/>
  <c r="D19" i="5"/>
  <c r="D19" i="6" s="1"/>
  <c r="C19" i="5"/>
  <c r="B19" i="5"/>
  <c r="G18" i="5"/>
  <c r="G18" i="6" s="1"/>
  <c r="F18" i="5"/>
  <c r="F18" i="6" s="1"/>
  <c r="E18" i="5"/>
  <c r="E18" i="6" s="1"/>
  <c r="D18" i="5"/>
  <c r="D18" i="6" s="1"/>
  <c r="C18" i="5"/>
  <c r="B18" i="5"/>
  <c r="G17" i="5"/>
  <c r="G17" i="6" s="1"/>
  <c r="F17" i="5"/>
  <c r="F17" i="6" s="1"/>
  <c r="E17" i="5"/>
  <c r="E17" i="6" s="1"/>
  <c r="D17" i="5"/>
  <c r="D17" i="6" s="1"/>
  <c r="C17" i="5"/>
  <c r="B17" i="5"/>
  <c r="G16" i="5"/>
  <c r="G16" i="6" s="1"/>
  <c r="F16" i="5"/>
  <c r="F16" i="6" s="1"/>
  <c r="E16" i="5"/>
  <c r="E16" i="6" s="1"/>
  <c r="D16" i="5"/>
  <c r="D16" i="6" s="1"/>
  <c r="C16" i="5"/>
  <c r="B16" i="5"/>
  <c r="G15" i="5"/>
  <c r="G15" i="6" s="1"/>
  <c r="F15" i="5"/>
  <c r="F15" i="6" s="1"/>
  <c r="E15" i="5"/>
  <c r="E15" i="6" s="1"/>
  <c r="D15" i="5"/>
  <c r="D15" i="6" s="1"/>
  <c r="C15" i="5"/>
  <c r="B15" i="5"/>
  <c r="G14" i="5"/>
  <c r="G14" i="6" s="1"/>
  <c r="F14" i="5"/>
  <c r="F14" i="6" s="1"/>
  <c r="E14" i="5"/>
  <c r="E14" i="6" s="1"/>
  <c r="D14" i="5"/>
  <c r="D14" i="6" s="1"/>
  <c r="C14" i="5"/>
  <c r="B14" i="5"/>
  <c r="G13" i="5"/>
  <c r="G13" i="6" s="1"/>
  <c r="F13" i="5"/>
  <c r="F13" i="6" s="1"/>
  <c r="E13" i="5"/>
  <c r="E13" i="6" s="1"/>
  <c r="D13" i="5"/>
  <c r="D13" i="6" s="1"/>
  <c r="C13" i="5"/>
  <c r="B13" i="5"/>
  <c r="G12" i="5"/>
  <c r="G12" i="6" s="1"/>
  <c r="F12" i="5"/>
  <c r="F12" i="6" s="1"/>
  <c r="E12" i="5"/>
  <c r="E12" i="6" s="1"/>
  <c r="D12" i="5"/>
  <c r="D12" i="6" s="1"/>
  <c r="C12" i="5"/>
  <c r="B12" i="5"/>
  <c r="G11" i="5"/>
  <c r="G11" i="6" s="1"/>
  <c r="F11" i="5"/>
  <c r="F11" i="6" s="1"/>
  <c r="E11" i="5"/>
  <c r="E11" i="6" s="1"/>
  <c r="D11" i="5"/>
  <c r="D11" i="6" s="1"/>
  <c r="C11" i="5"/>
  <c r="B11" i="5"/>
  <c r="G10" i="5"/>
  <c r="G10" i="6" s="1"/>
  <c r="F10" i="5"/>
  <c r="F10" i="6" s="1"/>
  <c r="E10" i="5"/>
  <c r="E10" i="6" s="1"/>
  <c r="D10" i="5"/>
  <c r="D10" i="6" s="1"/>
  <c r="C10" i="5"/>
  <c r="B10" i="5"/>
  <c r="G9" i="5"/>
  <c r="G9" i="6" s="1"/>
  <c r="F9" i="5"/>
  <c r="F9" i="6" s="1"/>
  <c r="E9" i="5"/>
  <c r="E9" i="6" s="1"/>
  <c r="D9" i="5"/>
  <c r="D9" i="6" s="1"/>
  <c r="C9" i="5"/>
  <c r="B9" i="5"/>
  <c r="G8" i="5"/>
  <c r="G8" i="6" s="1"/>
  <c r="F8" i="5"/>
  <c r="F8" i="6" s="1"/>
  <c r="E8" i="5"/>
  <c r="E8" i="6" s="1"/>
  <c r="D8" i="5"/>
  <c r="D8" i="6" s="1"/>
  <c r="C8" i="5"/>
  <c r="B8" i="5"/>
  <c r="G7" i="5"/>
  <c r="G7" i="6" s="1"/>
  <c r="F7" i="5"/>
  <c r="F7" i="6" s="1"/>
  <c r="E7" i="5"/>
  <c r="E7" i="6" s="1"/>
  <c r="D7" i="5"/>
  <c r="D7" i="6" s="1"/>
  <c r="C7" i="5"/>
  <c r="B7" i="5"/>
  <c r="G6" i="5"/>
  <c r="G6" i="6" s="1"/>
  <c r="F6" i="5"/>
  <c r="F6" i="6" s="1"/>
  <c r="E6" i="5"/>
  <c r="E6" i="6" s="1"/>
  <c r="D6" i="5"/>
  <c r="D6" i="6" s="1"/>
  <c r="C6" i="5"/>
  <c r="B6" i="5"/>
  <c r="G5" i="5"/>
  <c r="G5" i="6" s="1"/>
  <c r="F5" i="5"/>
  <c r="F5" i="6" s="1"/>
  <c r="E5" i="5"/>
  <c r="E5" i="6" s="1"/>
  <c r="D5" i="5"/>
  <c r="D5" i="6" s="1"/>
  <c r="C5" i="5"/>
  <c r="B5" i="5"/>
  <c r="G4" i="5"/>
  <c r="G4" i="6" s="1"/>
  <c r="F4" i="5"/>
  <c r="F4" i="6" s="1"/>
  <c r="E4" i="5"/>
  <c r="E4" i="6" s="1"/>
  <c r="D4" i="5"/>
  <c r="D4" i="6" s="1"/>
  <c r="C4" i="5"/>
  <c r="B4" i="5"/>
  <c r="G3" i="5"/>
  <c r="G3" i="6" s="1"/>
  <c r="F3" i="5"/>
  <c r="F3" i="6" s="1"/>
  <c r="E3" i="5"/>
  <c r="E3" i="6" s="1"/>
  <c r="D3" i="5"/>
  <c r="D3" i="6" s="1"/>
  <c r="C3" i="5"/>
  <c r="B3" i="5"/>
  <c r="G2" i="5"/>
  <c r="G2" i="6" s="1"/>
  <c r="F2" i="5"/>
  <c r="F2" i="6" s="1"/>
  <c r="E2" i="5"/>
  <c r="E2" i="6" s="1"/>
  <c r="D2" i="5"/>
  <c r="D2" i="6" s="1"/>
  <c r="C2" i="5"/>
  <c r="B2" i="5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26" i="1"/>
  <c r="S26" i="6" s="1"/>
  <c r="H25" i="1"/>
  <c r="S25" i="6" s="1"/>
  <c r="H24" i="1"/>
  <c r="S24" i="6" s="1"/>
  <c r="H23" i="1"/>
  <c r="S23" i="6" s="1"/>
  <c r="H22" i="1"/>
  <c r="S22" i="6" s="1"/>
  <c r="H21" i="1"/>
  <c r="S21" i="6" s="1"/>
  <c r="H20" i="1"/>
  <c r="S20" i="6" s="1"/>
  <c r="H19" i="1"/>
  <c r="S19" i="6" s="1"/>
  <c r="H18" i="1"/>
  <c r="S18" i="6" s="1"/>
  <c r="H17" i="1"/>
  <c r="S17" i="6" s="1"/>
  <c r="H16" i="1"/>
  <c r="S16" i="6" s="1"/>
  <c r="H15" i="1"/>
  <c r="S15" i="6" s="1"/>
  <c r="H14" i="1"/>
  <c r="S14" i="6" s="1"/>
  <c r="H13" i="1"/>
  <c r="S13" i="6" s="1"/>
  <c r="H12" i="1"/>
  <c r="S12" i="6" s="1"/>
  <c r="H11" i="1"/>
  <c r="H10" i="1"/>
  <c r="H9" i="1"/>
  <c r="H8" i="1"/>
  <c r="S8" i="6" s="1"/>
  <c r="H7" i="1"/>
  <c r="S7" i="6" s="1"/>
  <c r="H6" i="1"/>
  <c r="S6" i="6" s="1"/>
  <c r="H5" i="1"/>
  <c r="S5" i="6" s="1"/>
  <c r="H4" i="1"/>
  <c r="S4" i="6" s="1"/>
  <c r="H3" i="1"/>
  <c r="S3" i="6" s="1"/>
  <c r="H2" i="1"/>
  <c r="S2" i="6" s="1"/>
  <c r="H26" i="5" l="1"/>
  <c r="C26" i="6"/>
  <c r="H25" i="5"/>
  <c r="C25" i="6"/>
  <c r="C24" i="6"/>
  <c r="H24" i="5"/>
  <c r="C23" i="6"/>
  <c r="H23" i="5"/>
  <c r="H22" i="5"/>
  <c r="C22" i="6"/>
  <c r="C21" i="6"/>
  <c r="H21" i="5"/>
  <c r="C20" i="6"/>
  <c r="H20" i="5"/>
  <c r="C19" i="6"/>
  <c r="H19" i="5"/>
  <c r="C18" i="6"/>
  <c r="H18" i="5"/>
  <c r="C17" i="6"/>
  <c r="H17" i="5"/>
  <c r="C16" i="6"/>
  <c r="H16" i="5"/>
  <c r="C15" i="6"/>
  <c r="H15" i="5"/>
  <c r="H14" i="5"/>
  <c r="C14" i="6"/>
  <c r="C13" i="6"/>
  <c r="H13" i="5"/>
  <c r="C12" i="6"/>
  <c r="H12" i="5"/>
  <c r="H11" i="5"/>
  <c r="C11" i="6"/>
  <c r="H10" i="5"/>
  <c r="C10" i="6"/>
  <c r="H9" i="5"/>
  <c r="C9" i="6"/>
  <c r="H8" i="5"/>
  <c r="C8" i="6"/>
  <c r="H7" i="5"/>
  <c r="C7" i="6"/>
  <c r="H6" i="5"/>
  <c r="C6" i="6"/>
  <c r="H5" i="5"/>
  <c r="C5" i="6"/>
  <c r="H4" i="5"/>
  <c r="C4" i="6"/>
  <c r="C3" i="6"/>
  <c r="H3" i="5"/>
  <c r="H2" i="5"/>
  <c r="C2" i="6"/>
  <c r="I26" i="6" l="1"/>
  <c r="J26" i="6"/>
  <c r="M26" i="6"/>
  <c r="L26" i="6"/>
  <c r="J25" i="6"/>
  <c r="M25" i="6"/>
  <c r="N25" i="6" s="1"/>
  <c r="I25" i="6"/>
  <c r="L25" i="6"/>
  <c r="L24" i="6"/>
  <c r="I24" i="6"/>
  <c r="J24" i="6"/>
  <c r="M24" i="6"/>
  <c r="N24" i="6" s="1"/>
  <c r="I23" i="6"/>
  <c r="J23" i="6"/>
  <c r="L23" i="6"/>
  <c r="M23" i="6"/>
  <c r="N23" i="6" s="1"/>
  <c r="J22" i="6"/>
  <c r="M22" i="6"/>
  <c r="I22" i="6"/>
  <c r="L22" i="6"/>
  <c r="I21" i="6"/>
  <c r="J21" i="6"/>
  <c r="L21" i="6"/>
  <c r="M21" i="6"/>
  <c r="N21" i="6" s="1"/>
  <c r="I20" i="6"/>
  <c r="J20" i="6"/>
  <c r="L20" i="6"/>
  <c r="M20" i="6"/>
  <c r="J19" i="6"/>
  <c r="I19" i="6"/>
  <c r="L19" i="6"/>
  <c r="M19" i="6"/>
  <c r="N19" i="6" s="1"/>
  <c r="I18" i="6"/>
  <c r="J18" i="6"/>
  <c r="L18" i="6"/>
  <c r="M18" i="6"/>
  <c r="I17" i="6"/>
  <c r="J17" i="6"/>
  <c r="L17" i="6"/>
  <c r="M17" i="6"/>
  <c r="N17" i="6" s="1"/>
  <c r="I16" i="6"/>
  <c r="J16" i="6"/>
  <c r="L16" i="6"/>
  <c r="M16" i="6"/>
  <c r="N16" i="6" s="1"/>
  <c r="I15" i="6"/>
  <c r="J15" i="6"/>
  <c r="L15" i="6"/>
  <c r="M15" i="6"/>
  <c r="N15" i="6" s="1"/>
  <c r="J14" i="6"/>
  <c r="M14" i="6"/>
  <c r="I14" i="6"/>
  <c r="L14" i="6"/>
  <c r="I13" i="6"/>
  <c r="J13" i="6"/>
  <c r="L13" i="6"/>
  <c r="M13" i="6"/>
  <c r="N13" i="6" s="1"/>
  <c r="I12" i="6"/>
  <c r="J12" i="6"/>
  <c r="L12" i="6"/>
  <c r="M12" i="6"/>
  <c r="N12" i="6" s="1"/>
  <c r="I11" i="6"/>
  <c r="J11" i="6"/>
  <c r="L11" i="6"/>
  <c r="M11" i="6"/>
  <c r="N11" i="6" s="1"/>
  <c r="J10" i="6"/>
  <c r="M10" i="6"/>
  <c r="I10" i="6"/>
  <c r="L10" i="6"/>
  <c r="I9" i="6"/>
  <c r="J9" i="6"/>
  <c r="L9" i="6"/>
  <c r="M9" i="6"/>
  <c r="I8" i="6"/>
  <c r="J8" i="6"/>
  <c r="L8" i="6"/>
  <c r="M8" i="6"/>
  <c r="I7" i="6"/>
  <c r="J7" i="6"/>
  <c r="L7" i="6"/>
  <c r="M7" i="6"/>
  <c r="N7" i="6" s="1"/>
  <c r="I6" i="6"/>
  <c r="L6" i="6"/>
  <c r="M6" i="6"/>
  <c r="N6" i="6" s="1"/>
  <c r="J6" i="6"/>
  <c r="I5" i="6"/>
  <c r="L5" i="6"/>
  <c r="J5" i="6"/>
  <c r="M5" i="6"/>
  <c r="N5" i="6" s="1"/>
  <c r="I4" i="6"/>
  <c r="J4" i="6"/>
  <c r="L4" i="6"/>
  <c r="M4" i="6"/>
  <c r="N4" i="6" s="1"/>
  <c r="I3" i="6"/>
  <c r="J3" i="6"/>
  <c r="L3" i="6"/>
  <c r="M3" i="6"/>
  <c r="N3" i="6" s="1"/>
  <c r="I2" i="6"/>
  <c r="J2" i="6"/>
  <c r="L2" i="6"/>
  <c r="M2" i="6"/>
  <c r="N2" i="6" s="1"/>
  <c r="O25" i="6" l="1"/>
  <c r="C25" i="7"/>
  <c r="O24" i="6"/>
  <c r="C24" i="7"/>
  <c r="O23" i="6"/>
  <c r="C23" i="7"/>
  <c r="O21" i="6"/>
  <c r="C21" i="7"/>
  <c r="O19" i="6"/>
  <c r="C19" i="7"/>
  <c r="O17" i="6"/>
  <c r="C17" i="7"/>
  <c r="O16" i="6"/>
  <c r="C16" i="7"/>
  <c r="O15" i="6"/>
  <c r="C15" i="7"/>
  <c r="O13" i="6"/>
  <c r="C13" i="7"/>
  <c r="O12" i="6"/>
  <c r="C12" i="7"/>
  <c r="O11" i="6"/>
  <c r="C11" i="7"/>
  <c r="O7" i="6"/>
  <c r="C7" i="7"/>
  <c r="O6" i="6"/>
  <c r="C6" i="7"/>
  <c r="C5" i="7"/>
  <c r="O5" i="6"/>
  <c r="O4" i="6"/>
  <c r="C4" i="7"/>
  <c r="O3" i="6"/>
  <c r="C3" i="7"/>
  <c r="O2" i="6"/>
  <c r="C2" i="7"/>
  <c r="N26" i="6"/>
  <c r="N22" i="6"/>
  <c r="N20" i="6"/>
  <c r="N18" i="6"/>
  <c r="N14" i="6"/>
  <c r="N10" i="6"/>
  <c r="N9" i="6"/>
  <c r="N8" i="6"/>
  <c r="Q25" i="6" l="1"/>
  <c r="R25" i="6"/>
  <c r="E25" i="7" s="1"/>
  <c r="Q24" i="6"/>
  <c r="R24" i="6" s="1"/>
  <c r="E24" i="7" s="1"/>
  <c r="R23" i="6"/>
  <c r="E23" i="7" s="1"/>
  <c r="Q23" i="6"/>
  <c r="Q21" i="6"/>
  <c r="R21" i="6" s="1"/>
  <c r="E21" i="7" s="1"/>
  <c r="Q19" i="6"/>
  <c r="R19" i="6" s="1"/>
  <c r="E19" i="7" s="1"/>
  <c r="Q17" i="6"/>
  <c r="R17" i="6" s="1"/>
  <c r="E17" i="7" s="1"/>
  <c r="Q16" i="6"/>
  <c r="R16" i="6" s="1"/>
  <c r="E16" i="7" s="1"/>
  <c r="Q15" i="6"/>
  <c r="R15" i="6" s="1"/>
  <c r="E15" i="7" s="1"/>
  <c r="Q13" i="6"/>
  <c r="R13" i="6"/>
  <c r="E13" i="7" s="1"/>
  <c r="Q12" i="6"/>
  <c r="R12" i="6"/>
  <c r="E12" i="7" s="1"/>
  <c r="Q11" i="6"/>
  <c r="R11" i="6"/>
  <c r="E11" i="7" s="1"/>
  <c r="Q7" i="6"/>
  <c r="R7" i="6" s="1"/>
  <c r="E7" i="7" s="1"/>
  <c r="Q6" i="6"/>
  <c r="R6" i="6" s="1"/>
  <c r="E6" i="7" s="1"/>
  <c r="Q5" i="6"/>
  <c r="R5" i="6" s="1"/>
  <c r="E5" i="7" s="1"/>
  <c r="Q4" i="6"/>
  <c r="R4" i="6" s="1"/>
  <c r="E4" i="7" s="1"/>
  <c r="Q3" i="6"/>
  <c r="R3" i="6" s="1"/>
  <c r="E3" i="7" s="1"/>
  <c r="Q2" i="6"/>
  <c r="R2" i="6" s="1"/>
  <c r="E2" i="7" s="1"/>
  <c r="C26" i="7"/>
  <c r="O26" i="6"/>
  <c r="C22" i="7"/>
  <c r="O22" i="6"/>
  <c r="C20" i="7"/>
  <c r="O20" i="6"/>
  <c r="C18" i="7"/>
  <c r="O18" i="6"/>
  <c r="O14" i="6"/>
  <c r="C14" i="7"/>
  <c r="O10" i="6"/>
  <c r="C10" i="7"/>
  <c r="C9" i="7"/>
  <c r="O9" i="6"/>
  <c r="C8" i="7"/>
  <c r="O8" i="6"/>
  <c r="T25" i="6" l="1"/>
  <c r="F25" i="7" s="1"/>
  <c r="D25" i="7"/>
  <c r="T24" i="6"/>
  <c r="F24" i="7" s="1"/>
  <c r="D24" i="7"/>
  <c r="T23" i="6"/>
  <c r="F23" i="7" s="1"/>
  <c r="D23" i="7"/>
  <c r="T21" i="6"/>
  <c r="F21" i="7" s="1"/>
  <c r="D21" i="7"/>
  <c r="T19" i="6"/>
  <c r="F19" i="7" s="1"/>
  <c r="D19" i="7"/>
  <c r="T17" i="6"/>
  <c r="F17" i="7" s="1"/>
  <c r="D17" i="7"/>
  <c r="T16" i="6"/>
  <c r="F16" i="7" s="1"/>
  <c r="D16" i="7"/>
  <c r="T15" i="6"/>
  <c r="F15" i="7" s="1"/>
  <c r="D15" i="7"/>
  <c r="T13" i="6"/>
  <c r="F13" i="7" s="1"/>
  <c r="D13" i="7"/>
  <c r="T12" i="6"/>
  <c r="F12" i="7" s="1"/>
  <c r="D12" i="7"/>
  <c r="T11" i="6"/>
  <c r="F11" i="7" s="1"/>
  <c r="D11" i="7"/>
  <c r="T7" i="6"/>
  <c r="F7" i="7" s="1"/>
  <c r="D7" i="7"/>
  <c r="T6" i="6"/>
  <c r="F6" i="7" s="1"/>
  <c r="D6" i="7"/>
  <c r="T5" i="6"/>
  <c r="F5" i="7" s="1"/>
  <c r="D5" i="7"/>
  <c r="T4" i="6"/>
  <c r="F4" i="7" s="1"/>
  <c r="D4" i="7"/>
  <c r="T3" i="6"/>
  <c r="F3" i="7" s="1"/>
  <c r="D3" i="7"/>
  <c r="T2" i="6"/>
  <c r="F2" i="7" s="1"/>
  <c r="D2" i="7"/>
  <c r="Q26" i="6"/>
  <c r="R26" i="6" s="1"/>
  <c r="E26" i="7" s="1"/>
  <c r="Q22" i="6"/>
  <c r="R22" i="6" s="1"/>
  <c r="E22" i="7" s="1"/>
  <c r="Q20" i="6"/>
  <c r="R20" i="6" s="1"/>
  <c r="E20" i="7" s="1"/>
  <c r="Q18" i="6"/>
  <c r="R18" i="6" s="1"/>
  <c r="E18" i="7" s="1"/>
  <c r="Q14" i="6"/>
  <c r="R14" i="6" s="1"/>
  <c r="E14" i="7" s="1"/>
  <c r="Q10" i="6"/>
  <c r="R10" i="6"/>
  <c r="E10" i="7" s="1"/>
  <c r="Q9" i="6"/>
  <c r="R9" i="6"/>
  <c r="E9" i="7" s="1"/>
  <c r="Q8" i="6"/>
  <c r="R8" i="6"/>
  <c r="E8" i="7" s="1"/>
  <c r="T26" i="6" l="1"/>
  <c r="F26" i="7" s="1"/>
  <c r="D26" i="7"/>
  <c r="T22" i="6"/>
  <c r="F22" i="7" s="1"/>
  <c r="D22" i="7"/>
  <c r="T20" i="6"/>
  <c r="F20" i="7" s="1"/>
  <c r="D20" i="7"/>
  <c r="T18" i="6"/>
  <c r="F18" i="7" s="1"/>
  <c r="D18" i="7"/>
  <c r="T14" i="6"/>
  <c r="F14" i="7" s="1"/>
  <c r="D14" i="7"/>
  <c r="T10" i="6"/>
  <c r="F10" i="7" s="1"/>
  <c r="D10" i="7"/>
  <c r="T9" i="6"/>
  <c r="F9" i="7" s="1"/>
  <c r="D9" i="7"/>
  <c r="T8" i="6"/>
  <c r="F8" i="7" s="1"/>
  <c r="D8" i="7"/>
</calcChain>
</file>

<file path=xl/sharedStrings.xml><?xml version="1.0" encoding="utf-8"?>
<sst xmlns="http://schemas.openxmlformats.org/spreadsheetml/2006/main" count="188" uniqueCount="129">
  <si>
    <t>id_barang</t>
  </si>
  <si>
    <t>nama_barang</t>
  </si>
  <si>
    <t>kategori</t>
  </si>
  <si>
    <t>harga_beli (Rp)</t>
  </si>
  <si>
    <t>harga_jual (Rp)</t>
  </si>
  <si>
    <t>satuan</t>
  </si>
  <si>
    <t>stok_awal (1 Jan 2026)</t>
  </si>
  <si>
    <t>stok_saat_ini</t>
  </si>
  <si>
    <t>id_supplier</t>
  </si>
  <si>
    <t>created_at</t>
  </si>
  <si>
    <t>Central Lock Universal</t>
  </si>
  <si>
    <t>Elektronik</t>
  </si>
  <si>
    <t>set</t>
  </si>
  <si>
    <t>Tempat Plat Nomor Akrilik</t>
  </si>
  <si>
    <t>Aksesoris Eksterior</t>
  </si>
  <si>
    <t>Bohlam Lampu LED</t>
  </si>
  <si>
    <t>Lampu</t>
  </si>
  <si>
    <t>pcs</t>
  </si>
  <si>
    <t>Parfum Mobil</t>
  </si>
  <si>
    <t>Aksesoris Interior</t>
  </si>
  <si>
    <t>Minyak Rem</t>
  </si>
  <si>
    <t>Perawatan</t>
  </si>
  <si>
    <t>botol</t>
  </si>
  <si>
    <t>Air Radiator Besar</t>
  </si>
  <si>
    <t>galon</t>
  </si>
  <si>
    <t>Air Radiator Kecil</t>
  </si>
  <si>
    <t>Charger HP Mobil USB</t>
  </si>
  <si>
    <t>Kaca Film Mobil</t>
  </si>
  <si>
    <t>Kaca Film</t>
  </si>
  <si>
    <t>roll</t>
  </si>
  <si>
    <t>Talang Air Mobil</t>
  </si>
  <si>
    <t>Wiper Standar</t>
  </si>
  <si>
    <t>Wiper Silicone</t>
  </si>
  <si>
    <t>Lampu Senja LED</t>
  </si>
  <si>
    <t>Lampu Plafon LED</t>
  </si>
  <si>
    <t>Lampu Sein LED</t>
  </si>
  <si>
    <t>Klakson Mobil</t>
  </si>
  <si>
    <t>Phone Holder Mobil</t>
  </si>
  <si>
    <t>USB Fast Charger Mobil</t>
  </si>
  <si>
    <t>Kamera Mundur</t>
  </si>
  <si>
    <t>Sensor Parkir</t>
  </si>
  <si>
    <t>Karpet Mobil Universal</t>
  </si>
  <si>
    <t>Karpet</t>
  </si>
  <si>
    <t>Cover Jok Mobil</t>
  </si>
  <si>
    <t>Interior</t>
  </si>
  <si>
    <t>Sarung Stir Mobil</t>
  </si>
  <si>
    <t>Cover Seat Belt</t>
  </si>
  <si>
    <t>Stiker Kaca Mobil</t>
  </si>
  <si>
    <t>lembar</t>
  </si>
  <si>
    <t>id_penjualan</t>
  </si>
  <si>
    <t>tanggal_keluar</t>
  </si>
  <si>
    <t>jumlah_terjual</t>
  </si>
  <si>
    <t>total_harga (Rp)</t>
  </si>
  <si>
    <t>id_pembelian</t>
  </si>
  <si>
    <t>tanggal_masuk</t>
  </si>
  <si>
    <t>jumlah_masuk</t>
  </si>
  <si>
    <t>DAFTAR SUPPLIER - TOKO BUDI VARIASI NGAWI</t>
  </si>
  <si>
    <t>Jl. P. Diponegoro No. 23, Ngawi, Jawa Timur</t>
  </si>
  <si>
    <t>Nama Supplier</t>
  </si>
  <si>
    <t>kontak_person</t>
  </si>
  <si>
    <t>Alamat</t>
  </si>
  <si>
    <t>lead_time_rata_rata (hari)</t>
  </si>
  <si>
    <t>Status</t>
  </si>
  <si>
    <t>Grosir Variasi Mobil</t>
  </si>
  <si>
    <t>Andi Prasetyo</t>
  </si>
  <si>
    <t>Jl. Wolter Monginsidi, Pedurungan, Semarang</t>
  </si>
  <si>
    <t>Aktif</t>
  </si>
  <si>
    <t>Toko Sinar Jaya Variasi Mobil</t>
  </si>
  <si>
    <t>Rina Sari</t>
  </si>
  <si>
    <t>Jl. MT. Haryono No.628, Semarang</t>
  </si>
  <si>
    <t>Istana Stadion Variasi Mobil</t>
  </si>
  <si>
    <t>Hendra Wijaya</t>
  </si>
  <si>
    <t>Jl. Stadion Selatan, Semarang</t>
  </si>
  <si>
    <t>Ristana Variasi Sompok</t>
  </si>
  <si>
    <t>Eko Saputra</t>
  </si>
  <si>
    <t>Jl. Sompok Baru, Semarang</t>
  </si>
  <si>
    <t>FAA Variasi</t>
  </si>
  <si>
    <t>Fitri Anggraini</t>
  </si>
  <si>
    <t>Jl. Majapahit, Semarang</t>
  </si>
  <si>
    <t>JA Auto Bodykit</t>
  </si>
  <si>
    <t>Joko Santoso</t>
  </si>
  <si>
    <t>Jl. Siliwangi, Semarang</t>
  </si>
  <si>
    <t>UD Enggal Jaya</t>
  </si>
  <si>
    <t>Agus Nugroho</t>
  </si>
  <si>
    <t>Jl. Raya Magetan, Magetan</t>
  </si>
  <si>
    <t>D2 Audio Variasi</t>
  </si>
  <si>
    <t>Dedi Kurniawan</t>
  </si>
  <si>
    <t>Jl. Ahmad Yani, Magetan</t>
  </si>
  <si>
    <t>Olimart Sanjaya Motor</t>
  </si>
  <si>
    <t>Santi Wulandari</t>
  </si>
  <si>
    <t>Jl. Diponegoro, Magetan</t>
  </si>
  <si>
    <t>Prima Motor Variasi</t>
  </si>
  <si>
    <t>Rudi Hartono</t>
  </si>
  <si>
    <t>Jl. Sukowati, Magetan</t>
  </si>
  <si>
    <t>Variasi Mobil Sukowati</t>
  </si>
  <si>
    <t>Bambang Setiawan</t>
  </si>
  <si>
    <t>Jl. Sukowati Barat, Magetan</t>
  </si>
  <si>
    <t>Jan 2026</t>
  </si>
  <si>
    <t>Feb 2026</t>
  </si>
  <si>
    <t>Mar 2026</t>
  </si>
  <si>
    <t>Apr 2026</t>
  </si>
  <si>
    <t>Mei 2026</t>
  </si>
  <si>
    <t>Total</t>
  </si>
  <si>
    <t>id</t>
  </si>
  <si>
    <t>Jan (X=1)</t>
  </si>
  <si>
    <t>Feb (X=2)</t>
  </si>
  <si>
    <t>Mar (X=3)</t>
  </si>
  <si>
    <t>Apr (X=4)</t>
  </si>
  <si>
    <t>Mei (X=5)</t>
  </si>
  <si>
    <t>ΣX</t>
  </si>
  <si>
    <t>ΣY</t>
  </si>
  <si>
    <t>ΣXY</t>
  </si>
  <si>
    <t>ΣX²</t>
  </si>
  <si>
    <t>b (slope)</t>
  </si>
  <si>
    <t>a (intercept)</t>
  </si>
  <si>
    <t>Y' Prediksi Jun</t>
  </si>
  <si>
    <t>d (unit/hari)</t>
  </si>
  <si>
    <t>Lead Time L (hari)</t>
  </si>
  <si>
    <t>Safety Stock (SS)</t>
  </si>
  <si>
    <t>Reorder Point (ROP)</t>
  </si>
  <si>
    <t>Stok Saat Ini</t>
  </si>
  <si>
    <t>Supplier</t>
  </si>
  <si>
    <t>id_control</t>
  </si>
  <si>
    <t>hasil_regresi_linear (Y')</t>
  </si>
  <si>
    <t>safety_stock (SS)</t>
  </si>
  <si>
    <t>reorder_point (ROP)</t>
  </si>
  <si>
    <t>status_stok</t>
  </si>
  <si>
    <t>diperbarui_pada</t>
  </si>
  <si>
    <t>Kaca Film 3M Black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</si>
</sst>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i/>
      <sz val="9"/>
      <color rgb="FF55555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2" fontId="2" fillId="0" borderId="1" xfId="0" applyNumberFormat="1" applyFont="1" applyBorder="1"/>
    <xf numFmtId="2" fontId="2" fillId="3" borderId="1" xfId="0" applyNumberFormat="1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6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zoomScaleNormal="100" workbookViewId="0">
      <pane ySplit="1" topLeftCell="A11" activePane="bottomLeft" state="frozen"/>
      <selection pane="bottomLeft" activeCell="L28" sqref="L28"/>
    </sheetView>
  </sheetViews>
  <sheetFormatPr defaultColWidth="8.6640625" defaultRowHeight="14.4" x14ac:dyDescent="0.3"/>
  <cols>
    <col min="1" max="1" width="10" customWidth="1"/>
    <col min="2" max="2" width="26" customWidth="1"/>
    <col min="3" max="3" width="20" customWidth="1"/>
    <col min="4" max="5" width="16" customWidth="1"/>
    <col min="6" max="6" width="9" customWidth="1"/>
    <col min="7" max="7" width="16" customWidth="1"/>
    <col min="8" max="8" width="14" customWidth="1"/>
    <col min="9" max="9" width="12" customWidth="1"/>
    <col min="10" max="10" width="20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3">
        <v>50000</v>
      </c>
      <c r="E2" s="3">
        <v>75000</v>
      </c>
      <c r="F2" s="2" t="s">
        <v>12</v>
      </c>
      <c r="G2" s="2">
        <v>8</v>
      </c>
      <c r="H2" s="2">
        <f>$G2+SUMIF(purchases!$B:$B,$A2,purchases!$E:$E)-SUMIF(sales!$B:$B,$A2,sales!$D:$D)</f>
        <v>5</v>
      </c>
      <c r="I2" s="2">
        <v>1</v>
      </c>
      <c r="J2" s="4">
        <v>46013.672488425902</v>
      </c>
    </row>
    <row r="3" spans="1:10" x14ac:dyDescent="0.3">
      <c r="A3" s="5">
        <v>2</v>
      </c>
      <c r="B3" s="5" t="s">
        <v>13</v>
      </c>
      <c r="C3" s="5" t="s">
        <v>14</v>
      </c>
      <c r="D3" s="6">
        <v>100000</v>
      </c>
      <c r="E3" s="6">
        <v>150000</v>
      </c>
      <c r="F3" s="5" t="s">
        <v>12</v>
      </c>
      <c r="G3" s="5">
        <v>7</v>
      </c>
      <c r="H3" s="5">
        <f>$G3+SUMIF(purchases!$B:$B,$A3,purchases!$E:$E)-SUMIF(sales!$B:$B,$A3,sales!$D:$D)</f>
        <v>7</v>
      </c>
      <c r="I3" s="5">
        <v>2</v>
      </c>
      <c r="J3" s="7">
        <v>46021.401388888902</v>
      </c>
    </row>
    <row r="4" spans="1:10" x14ac:dyDescent="0.3">
      <c r="A4" s="2">
        <v>3</v>
      </c>
      <c r="B4" s="2" t="s">
        <v>15</v>
      </c>
      <c r="C4" s="2" t="s">
        <v>16</v>
      </c>
      <c r="D4" s="3">
        <v>35000</v>
      </c>
      <c r="E4" s="3">
        <v>50000</v>
      </c>
      <c r="F4" s="2" t="s">
        <v>17</v>
      </c>
      <c r="G4" s="2">
        <v>6</v>
      </c>
      <c r="H4" s="2">
        <f>$G4+SUMIF(purchases!$B:$B,$A4,purchases!$E:$E)-SUMIF(sales!$B:$B,$A4,sales!$D:$D)</f>
        <v>9</v>
      </c>
      <c r="I4" s="2">
        <v>3</v>
      </c>
      <c r="J4" s="4">
        <v>46021.524467592601</v>
      </c>
    </row>
    <row r="5" spans="1:10" x14ac:dyDescent="0.3">
      <c r="A5" s="5">
        <v>4</v>
      </c>
      <c r="B5" s="5" t="s">
        <v>18</v>
      </c>
      <c r="C5" s="5" t="s">
        <v>19</v>
      </c>
      <c r="D5" s="6">
        <v>20000</v>
      </c>
      <c r="E5" s="6">
        <v>35000</v>
      </c>
      <c r="F5" s="5" t="s">
        <v>17</v>
      </c>
      <c r="G5" s="5">
        <v>6</v>
      </c>
      <c r="H5" s="5">
        <f>$G5+SUMIF(purchases!$B:$B,$A5,purchases!$E:$E)-SUMIF(sales!$B:$B,$A5,sales!$D:$D)</f>
        <v>9</v>
      </c>
      <c r="I5" s="5">
        <v>4</v>
      </c>
      <c r="J5" s="7">
        <v>46012.649224537003</v>
      </c>
    </row>
    <row r="6" spans="1:10" x14ac:dyDescent="0.3">
      <c r="A6" s="2">
        <v>5</v>
      </c>
      <c r="B6" s="2" t="s">
        <v>20</v>
      </c>
      <c r="C6" s="2" t="s">
        <v>21</v>
      </c>
      <c r="D6" s="3">
        <v>25000</v>
      </c>
      <c r="E6" s="3">
        <v>40000</v>
      </c>
      <c r="F6" s="2" t="s">
        <v>22</v>
      </c>
      <c r="G6" s="2">
        <v>6</v>
      </c>
      <c r="H6" s="2">
        <f>$G6+SUMIF(purchases!$B:$B,$A6,purchases!$E:$E)-SUMIF(sales!$B:$B,$A6,sales!$D:$D)</f>
        <v>3</v>
      </c>
      <c r="I6" s="2">
        <v>5</v>
      </c>
      <c r="J6" s="4">
        <v>46021.611747685201</v>
      </c>
    </row>
    <row r="7" spans="1:10" x14ac:dyDescent="0.3">
      <c r="A7" s="5">
        <v>6</v>
      </c>
      <c r="B7" s="5" t="s">
        <v>23</v>
      </c>
      <c r="C7" s="5" t="s">
        <v>21</v>
      </c>
      <c r="D7" s="6">
        <v>100000</v>
      </c>
      <c r="E7" s="6">
        <v>150000</v>
      </c>
      <c r="F7" s="5" t="s">
        <v>24</v>
      </c>
      <c r="G7" s="5">
        <v>7</v>
      </c>
      <c r="H7" s="5">
        <f>$G7+SUMIF(purchases!$B:$B,$A7,purchases!$E:$E)-SUMIF(sales!$B:$B,$A7,sales!$D:$D)</f>
        <v>4</v>
      </c>
      <c r="I7" s="5">
        <v>6</v>
      </c>
      <c r="J7" s="7">
        <v>46010.486215277801</v>
      </c>
    </row>
    <row r="8" spans="1:10" x14ac:dyDescent="0.3">
      <c r="A8" s="2">
        <v>7</v>
      </c>
      <c r="B8" s="2" t="s">
        <v>25</v>
      </c>
      <c r="C8" s="2" t="s">
        <v>21</v>
      </c>
      <c r="D8" s="3">
        <v>15000</v>
      </c>
      <c r="E8" s="3">
        <v>25000</v>
      </c>
      <c r="F8" s="2" t="s">
        <v>22</v>
      </c>
      <c r="G8" s="2">
        <v>6</v>
      </c>
      <c r="H8" s="2">
        <f>$G8+SUMIF(purchases!$B:$B,$A8,purchases!$E:$E)-SUMIF(sales!$B:$B,$A8,sales!$D:$D)</f>
        <v>7</v>
      </c>
      <c r="I8" s="2">
        <v>7</v>
      </c>
      <c r="J8" s="4">
        <v>46018.363067129598</v>
      </c>
    </row>
    <row r="9" spans="1:10" x14ac:dyDescent="0.3">
      <c r="A9" s="5">
        <v>8</v>
      </c>
      <c r="B9" s="5" t="s">
        <v>26</v>
      </c>
      <c r="C9" s="5" t="s">
        <v>11</v>
      </c>
      <c r="D9" s="6">
        <v>60000</v>
      </c>
      <c r="E9" s="6">
        <v>100000</v>
      </c>
      <c r="F9" s="5" t="s">
        <v>17</v>
      </c>
      <c r="G9" s="5">
        <v>7</v>
      </c>
      <c r="H9" s="5">
        <f>$G9+SUMIF(purchases!$B:$B,$A9,purchases!$E:$E)-SUMIF(sales!$B:$B,$A9,sales!$D:$D)</f>
        <v>3</v>
      </c>
      <c r="I9" s="5">
        <v>8</v>
      </c>
      <c r="J9" s="7">
        <v>46008.4504282407</v>
      </c>
    </row>
    <row r="10" spans="1:10" x14ac:dyDescent="0.3">
      <c r="A10" s="2">
        <v>9</v>
      </c>
      <c r="B10" s="2" t="s">
        <v>27</v>
      </c>
      <c r="C10" s="2" t="s">
        <v>28</v>
      </c>
      <c r="D10" s="3">
        <v>350000</v>
      </c>
      <c r="E10" s="3">
        <v>500000</v>
      </c>
      <c r="F10" s="2" t="s">
        <v>29</v>
      </c>
      <c r="G10" s="2">
        <v>6</v>
      </c>
      <c r="H10" s="2">
        <f>$G10+SUMIF(purchases!$B:$B,$A10,purchases!$E:$E)-SUMIF(sales!$B:$B,$A10,sales!$D:$D)</f>
        <v>12</v>
      </c>
      <c r="I10" s="2">
        <v>9</v>
      </c>
      <c r="J10" s="4">
        <v>46007.5340393519</v>
      </c>
    </row>
    <row r="11" spans="1:10" x14ac:dyDescent="0.3">
      <c r="A11" s="5">
        <v>10</v>
      </c>
      <c r="B11" s="5" t="s">
        <v>30</v>
      </c>
      <c r="C11" s="5" t="s">
        <v>14</v>
      </c>
      <c r="D11" s="6">
        <v>150000</v>
      </c>
      <c r="E11" s="6">
        <v>250000</v>
      </c>
      <c r="F11" s="5" t="s">
        <v>12</v>
      </c>
      <c r="G11" s="5">
        <v>6</v>
      </c>
      <c r="H11" s="5">
        <f>$G11+SUMIF(purchases!$B:$B,$A11,purchases!$E:$E)-SUMIF(sales!$B:$B,$A11,sales!$D:$D)</f>
        <v>6</v>
      </c>
      <c r="I11" s="5">
        <v>10</v>
      </c>
      <c r="J11" s="7">
        <v>46014.651921296303</v>
      </c>
    </row>
    <row r="12" spans="1:10" x14ac:dyDescent="0.3">
      <c r="A12" s="2">
        <v>11</v>
      </c>
      <c r="B12" s="2" t="s">
        <v>31</v>
      </c>
      <c r="C12" s="2" t="s">
        <v>14</v>
      </c>
      <c r="D12" s="3">
        <v>45000</v>
      </c>
      <c r="E12" s="3">
        <v>75000</v>
      </c>
      <c r="F12" s="2" t="s">
        <v>12</v>
      </c>
      <c r="G12" s="2">
        <v>10</v>
      </c>
      <c r="H12" s="2">
        <f>$G12+SUMIF(purchases!$B:$B,$A12,purchases!$E:$E)-SUMIF(sales!$B:$B,$A12,sales!$D:$D)</f>
        <v>7</v>
      </c>
      <c r="I12" s="2">
        <v>11</v>
      </c>
      <c r="J12" s="4">
        <v>46018.601226851897</v>
      </c>
    </row>
    <row r="13" spans="1:10" x14ac:dyDescent="0.3">
      <c r="A13" s="5">
        <v>12</v>
      </c>
      <c r="B13" s="5" t="s">
        <v>32</v>
      </c>
      <c r="C13" s="5" t="s">
        <v>14</v>
      </c>
      <c r="D13" s="6">
        <v>80000</v>
      </c>
      <c r="E13" s="6">
        <v>120000</v>
      </c>
      <c r="F13" s="5" t="s">
        <v>12</v>
      </c>
      <c r="G13" s="5">
        <v>10</v>
      </c>
      <c r="H13" s="5">
        <f>$G13+SUMIF(purchases!$B:$B,$A13,purchases!$E:$E)-SUMIF(sales!$B:$B,$A13,sales!$D:$D)</f>
        <v>4</v>
      </c>
      <c r="I13" s="5">
        <v>1</v>
      </c>
      <c r="J13" s="7">
        <v>46020.4558217593</v>
      </c>
    </row>
    <row r="14" spans="1:10" x14ac:dyDescent="0.3">
      <c r="A14" s="2">
        <v>13</v>
      </c>
      <c r="B14" s="2" t="s">
        <v>33</v>
      </c>
      <c r="C14" s="2" t="s">
        <v>16</v>
      </c>
      <c r="D14" s="3">
        <v>30000</v>
      </c>
      <c r="E14" s="3">
        <v>50000</v>
      </c>
      <c r="F14" s="2" t="s">
        <v>17</v>
      </c>
      <c r="G14" s="2">
        <v>9</v>
      </c>
      <c r="H14" s="2">
        <f>$G14+SUMIF(purchases!$B:$B,$A14,purchases!$E:$E)-SUMIF(sales!$B:$B,$A14,sales!$D:$D)</f>
        <v>11</v>
      </c>
      <c r="I14" s="2">
        <v>2</v>
      </c>
      <c r="J14" s="4">
        <v>46009.339247685202</v>
      </c>
    </row>
    <row r="15" spans="1:10" x14ac:dyDescent="0.3">
      <c r="A15" s="5">
        <v>14</v>
      </c>
      <c r="B15" s="5" t="s">
        <v>34</v>
      </c>
      <c r="C15" s="5" t="s">
        <v>16</v>
      </c>
      <c r="D15" s="6">
        <v>25000</v>
      </c>
      <c r="E15" s="6">
        <v>40000</v>
      </c>
      <c r="F15" s="5" t="s">
        <v>17</v>
      </c>
      <c r="G15" s="5">
        <v>9</v>
      </c>
      <c r="H15" s="5">
        <f>$G15+SUMIF(purchases!$B:$B,$A15,purchases!$E:$E)-SUMIF(sales!$B:$B,$A15,sales!$D:$D)</f>
        <v>9</v>
      </c>
      <c r="I15" s="5">
        <v>3</v>
      </c>
      <c r="J15" s="7">
        <v>46012.5301736111</v>
      </c>
    </row>
    <row r="16" spans="1:10" x14ac:dyDescent="0.3">
      <c r="A16" s="2">
        <v>15</v>
      </c>
      <c r="B16" s="2" t="s">
        <v>35</v>
      </c>
      <c r="C16" s="2" t="s">
        <v>16</v>
      </c>
      <c r="D16" s="3">
        <v>40000</v>
      </c>
      <c r="E16" s="3">
        <v>60000</v>
      </c>
      <c r="F16" s="2" t="s">
        <v>17</v>
      </c>
      <c r="G16" s="2">
        <v>11</v>
      </c>
      <c r="H16" s="2">
        <f>$G16+SUMIF(purchases!$B:$B,$A16,purchases!$E:$E)-SUMIF(sales!$B:$B,$A16,sales!$D:$D)</f>
        <v>5</v>
      </c>
      <c r="I16" s="2">
        <v>4</v>
      </c>
      <c r="J16" s="4">
        <v>46015.606168981503</v>
      </c>
    </row>
    <row r="17" spans="1:10" x14ac:dyDescent="0.3">
      <c r="A17" s="5">
        <v>16</v>
      </c>
      <c r="B17" s="5" t="s">
        <v>36</v>
      </c>
      <c r="C17" s="5" t="s">
        <v>11</v>
      </c>
      <c r="D17" s="6">
        <v>100000</v>
      </c>
      <c r="E17" s="6">
        <v>150000</v>
      </c>
      <c r="F17" s="5" t="s">
        <v>12</v>
      </c>
      <c r="G17" s="5">
        <v>6</v>
      </c>
      <c r="H17" s="5">
        <f>$G17+SUMIF(purchases!$B:$B,$A17,purchases!$E:$E)-SUMIF(sales!$B:$B,$A17,sales!$D:$D)</f>
        <v>3</v>
      </c>
      <c r="I17" s="5">
        <v>5</v>
      </c>
      <c r="J17" s="7">
        <v>46018.565706018497</v>
      </c>
    </row>
    <row r="18" spans="1:10" x14ac:dyDescent="0.3">
      <c r="A18" s="2">
        <v>17</v>
      </c>
      <c r="B18" s="2" t="s">
        <v>37</v>
      </c>
      <c r="C18" s="2" t="s">
        <v>19</v>
      </c>
      <c r="D18" s="3">
        <v>30000</v>
      </c>
      <c r="E18" s="3">
        <v>50000</v>
      </c>
      <c r="F18" s="2" t="s">
        <v>17</v>
      </c>
      <c r="G18" s="2">
        <v>7</v>
      </c>
      <c r="H18" s="2">
        <f>$G18+SUMIF(purchases!$B:$B,$A18,purchases!$E:$E)-SUMIF(sales!$B:$B,$A18,sales!$D:$D)</f>
        <v>6</v>
      </c>
      <c r="I18" s="2">
        <v>6</v>
      </c>
      <c r="J18" s="4">
        <v>46019.498159722199</v>
      </c>
    </row>
    <row r="19" spans="1:10" x14ac:dyDescent="0.3">
      <c r="A19" s="5">
        <v>18</v>
      </c>
      <c r="B19" s="5" t="s">
        <v>38</v>
      </c>
      <c r="C19" s="5" t="s">
        <v>11</v>
      </c>
      <c r="D19" s="6">
        <v>50000</v>
      </c>
      <c r="E19" s="6">
        <v>80000</v>
      </c>
      <c r="F19" s="5" t="s">
        <v>17</v>
      </c>
      <c r="G19" s="5">
        <v>9</v>
      </c>
      <c r="H19" s="5">
        <f>$G19+SUMIF(purchases!$B:$B,$A19,purchases!$E:$E)-SUMIF(sales!$B:$B,$A19,sales!$D:$D)</f>
        <v>5</v>
      </c>
      <c r="I19" s="5">
        <v>7</v>
      </c>
      <c r="J19" s="7">
        <v>46006.526875000003</v>
      </c>
    </row>
    <row r="20" spans="1:10" x14ac:dyDescent="0.3">
      <c r="A20" s="2">
        <v>19</v>
      </c>
      <c r="B20" s="2" t="s">
        <v>39</v>
      </c>
      <c r="C20" s="2" t="s">
        <v>11</v>
      </c>
      <c r="D20" s="3">
        <v>250000</v>
      </c>
      <c r="E20" s="3">
        <v>350000</v>
      </c>
      <c r="F20" s="2" t="s">
        <v>12</v>
      </c>
      <c r="G20" s="2">
        <v>6</v>
      </c>
      <c r="H20" s="2">
        <f>$G20+SUMIF(purchases!$B:$B,$A20,purchases!$E:$E)-SUMIF(sales!$B:$B,$A20,sales!$D:$D)</f>
        <v>8</v>
      </c>
      <c r="I20" s="2">
        <v>8</v>
      </c>
      <c r="J20" s="4">
        <v>46011.565937500003</v>
      </c>
    </row>
    <row r="21" spans="1:10" x14ac:dyDescent="0.3">
      <c r="A21" s="5">
        <v>20</v>
      </c>
      <c r="B21" s="5" t="s">
        <v>40</v>
      </c>
      <c r="C21" s="5" t="s">
        <v>11</v>
      </c>
      <c r="D21" s="6">
        <v>150000</v>
      </c>
      <c r="E21" s="6">
        <v>250000</v>
      </c>
      <c r="F21" s="5" t="s">
        <v>12</v>
      </c>
      <c r="G21" s="5">
        <v>7</v>
      </c>
      <c r="H21" s="5">
        <f>$G21+SUMIF(purchases!$B:$B,$A21,purchases!$E:$E)-SUMIF(sales!$B:$B,$A21,sales!$D:$D)</f>
        <v>6</v>
      </c>
      <c r="I21" s="5">
        <v>9</v>
      </c>
      <c r="J21" s="7">
        <v>46009.486724536997</v>
      </c>
    </row>
    <row r="22" spans="1:10" x14ac:dyDescent="0.3">
      <c r="A22" s="2">
        <v>21</v>
      </c>
      <c r="B22" s="2" t="s">
        <v>41</v>
      </c>
      <c r="C22" s="2" t="s">
        <v>42</v>
      </c>
      <c r="D22" s="3">
        <v>150000</v>
      </c>
      <c r="E22" s="3">
        <v>250000</v>
      </c>
      <c r="F22" s="2" t="s">
        <v>12</v>
      </c>
      <c r="G22" s="2">
        <v>8</v>
      </c>
      <c r="H22" s="2">
        <f>$G22+SUMIF(purchases!$B:$B,$A22,purchases!$E:$E)-SUMIF(sales!$B:$B,$A22,sales!$D:$D)</f>
        <v>12</v>
      </c>
      <c r="I22" s="2">
        <v>10</v>
      </c>
      <c r="J22" s="4">
        <v>46014.504907407398</v>
      </c>
    </row>
    <row r="23" spans="1:10" x14ac:dyDescent="0.3">
      <c r="A23" s="5">
        <v>22</v>
      </c>
      <c r="B23" s="5" t="s">
        <v>43</v>
      </c>
      <c r="C23" s="5" t="s">
        <v>44</v>
      </c>
      <c r="D23" s="6">
        <v>350000</v>
      </c>
      <c r="E23" s="6">
        <v>500000</v>
      </c>
      <c r="F23" s="5" t="s">
        <v>12</v>
      </c>
      <c r="G23" s="5">
        <v>8</v>
      </c>
      <c r="H23" s="5">
        <f>$G23+SUMIF(purchases!$B:$B,$A23,purchases!$E:$E)-SUMIF(sales!$B:$B,$A23,sales!$D:$D)</f>
        <v>8</v>
      </c>
      <c r="I23" s="5">
        <v>11</v>
      </c>
      <c r="J23" s="7">
        <v>46021.628726851901</v>
      </c>
    </row>
    <row r="24" spans="1:10" x14ac:dyDescent="0.3">
      <c r="A24" s="2">
        <v>23</v>
      </c>
      <c r="B24" s="2" t="s">
        <v>45</v>
      </c>
      <c r="C24" s="2" t="s">
        <v>44</v>
      </c>
      <c r="D24" s="3">
        <v>45000</v>
      </c>
      <c r="E24" s="3">
        <v>75000</v>
      </c>
      <c r="F24" s="2" t="s">
        <v>17</v>
      </c>
      <c r="G24" s="2">
        <v>6</v>
      </c>
      <c r="H24" s="2">
        <f>$G24+SUMIF(purchases!$B:$B,$A24,purchases!$E:$E)-SUMIF(sales!$B:$B,$A24,sales!$D:$D)</f>
        <v>12</v>
      </c>
      <c r="I24" s="2">
        <v>1</v>
      </c>
      <c r="J24" s="4">
        <v>46008.6230208333</v>
      </c>
    </row>
    <row r="25" spans="1:10" x14ac:dyDescent="0.3">
      <c r="A25" s="5">
        <v>24</v>
      </c>
      <c r="B25" s="5" t="s">
        <v>46</v>
      </c>
      <c r="C25" s="5" t="s">
        <v>44</v>
      </c>
      <c r="D25" s="6">
        <v>20000</v>
      </c>
      <c r="E25" s="6">
        <v>35000</v>
      </c>
      <c r="F25" s="5" t="s">
        <v>12</v>
      </c>
      <c r="G25" s="5">
        <v>10</v>
      </c>
      <c r="H25" s="5">
        <f>$G25+SUMIF(purchases!$B:$B,$A25,purchases!$E:$E)-SUMIF(sales!$B:$B,$A25,sales!$D:$D)</f>
        <v>5</v>
      </c>
      <c r="I25" s="5">
        <v>2</v>
      </c>
      <c r="J25" s="7">
        <v>46006.519317129598</v>
      </c>
    </row>
    <row r="26" spans="1:10" x14ac:dyDescent="0.3">
      <c r="A26" s="2">
        <v>25</v>
      </c>
      <c r="B26" s="2" t="s">
        <v>47</v>
      </c>
      <c r="C26" s="2" t="s">
        <v>14</v>
      </c>
      <c r="D26" s="3">
        <v>30000</v>
      </c>
      <c r="E26" s="3">
        <v>50000</v>
      </c>
      <c r="F26" s="2" t="s">
        <v>48</v>
      </c>
      <c r="G26" s="2">
        <v>7</v>
      </c>
      <c r="H26" s="2">
        <f>$G26+SUMIF(purchases!$B:$B,$A26,purchases!$E:$E)-SUMIF(sales!$B:$B,$A26,sales!$D:$D)</f>
        <v>9</v>
      </c>
      <c r="I26" s="2">
        <v>3</v>
      </c>
      <c r="J26" s="4">
        <v>46019.376828703702</v>
      </c>
    </row>
    <row r="27" spans="1:10" x14ac:dyDescent="0.3">
      <c r="A27" s="12">
        <v>26</v>
      </c>
      <c r="B27" s="12" t="s">
        <v>128</v>
      </c>
      <c r="C27" s="12" t="s">
        <v>28</v>
      </c>
      <c r="D27" s="13">
        <v>720000</v>
      </c>
      <c r="E27" s="13">
        <v>800000</v>
      </c>
      <c r="F27" s="12" t="s">
        <v>48</v>
      </c>
      <c r="G27" s="12">
        <v>3</v>
      </c>
      <c r="H27" s="12">
        <v>5</v>
      </c>
      <c r="I27" s="12">
        <v>4</v>
      </c>
    </row>
  </sheetData>
  <autoFilter ref="A1:J2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2" customWidth="1"/>
    <col min="3" max="5" width="16" customWidth="1"/>
    <col min="6" max="6" width="20" customWidth="1"/>
  </cols>
  <sheetData>
    <row r="1" spans="1:6" x14ac:dyDescent="0.3">
      <c r="A1" s="1" t="s">
        <v>49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9</v>
      </c>
    </row>
    <row r="2" spans="1:6" x14ac:dyDescent="0.3">
      <c r="A2" s="2">
        <v>1</v>
      </c>
      <c r="B2" s="2">
        <v>4</v>
      </c>
      <c r="C2" s="8">
        <v>46025</v>
      </c>
      <c r="D2" s="2">
        <v>2</v>
      </c>
      <c r="E2" s="3">
        <f>D2*VLOOKUP(B2,products!$A:$E,5,0)</f>
        <v>70000</v>
      </c>
      <c r="F2" s="4">
        <v>46025.394664351901</v>
      </c>
    </row>
    <row r="3" spans="1:6" x14ac:dyDescent="0.3">
      <c r="A3" s="5">
        <v>2</v>
      </c>
      <c r="B3" s="5">
        <v>1</v>
      </c>
      <c r="C3" s="9">
        <v>46025</v>
      </c>
      <c r="D3" s="5">
        <v>3</v>
      </c>
      <c r="E3" s="6">
        <f>D3*VLOOKUP(B3,products!$A:$E,5,0)</f>
        <v>225000</v>
      </c>
      <c r="F3" s="7">
        <v>46025.420532407399</v>
      </c>
    </row>
    <row r="4" spans="1:6" x14ac:dyDescent="0.3">
      <c r="A4" s="2">
        <v>3</v>
      </c>
      <c r="B4" s="2">
        <v>11</v>
      </c>
      <c r="C4" s="8">
        <v>46026</v>
      </c>
      <c r="D4" s="2">
        <v>3</v>
      </c>
      <c r="E4" s="3">
        <f>D4*VLOOKUP(B4,products!$A:$E,5,0)</f>
        <v>225000</v>
      </c>
      <c r="F4" s="4">
        <v>46026.611134259299</v>
      </c>
    </row>
    <row r="5" spans="1:6" x14ac:dyDescent="0.3">
      <c r="A5" s="5">
        <v>4</v>
      </c>
      <c r="B5" s="5">
        <v>17</v>
      </c>
      <c r="C5" s="9">
        <v>46027</v>
      </c>
      <c r="D5" s="5">
        <v>1</v>
      </c>
      <c r="E5" s="6">
        <f>D5*VLOOKUP(B5,products!$A:$E,5,0)</f>
        <v>50000</v>
      </c>
      <c r="F5" s="7">
        <v>46027.603252314802</v>
      </c>
    </row>
    <row r="6" spans="1:6" x14ac:dyDescent="0.3">
      <c r="A6" s="2">
        <v>5</v>
      </c>
      <c r="B6" s="2">
        <v>9</v>
      </c>
      <c r="C6" s="8">
        <v>46028</v>
      </c>
      <c r="D6" s="2">
        <v>1</v>
      </c>
      <c r="E6" s="3">
        <f>D6*VLOOKUP(B6,products!$A:$E,5,0)</f>
        <v>500000</v>
      </c>
      <c r="F6" s="4">
        <v>46028.443749999999</v>
      </c>
    </row>
    <row r="7" spans="1:6" x14ac:dyDescent="0.3">
      <c r="A7" s="5">
        <v>6</v>
      </c>
      <c r="B7" s="5">
        <v>12</v>
      </c>
      <c r="C7" s="9">
        <v>46032</v>
      </c>
      <c r="D7" s="5">
        <v>2</v>
      </c>
      <c r="E7" s="6">
        <f>D7*VLOOKUP(B7,products!$A:$E,5,0)</f>
        <v>240000</v>
      </c>
      <c r="F7" s="7">
        <v>46032.669479166703</v>
      </c>
    </row>
    <row r="8" spans="1:6" x14ac:dyDescent="0.3">
      <c r="A8" s="2">
        <v>7</v>
      </c>
      <c r="B8" s="2">
        <v>1</v>
      </c>
      <c r="C8" s="8">
        <v>46032</v>
      </c>
      <c r="D8" s="2">
        <v>3</v>
      </c>
      <c r="E8" s="3">
        <f>D8*VLOOKUP(B8,products!$A:$E,5,0)</f>
        <v>225000</v>
      </c>
      <c r="F8" s="4">
        <v>46032.342314814799</v>
      </c>
    </row>
    <row r="9" spans="1:6" x14ac:dyDescent="0.3">
      <c r="A9" s="5">
        <v>8</v>
      </c>
      <c r="B9" s="5">
        <v>12</v>
      </c>
      <c r="C9" s="9">
        <v>46034</v>
      </c>
      <c r="D9" s="5">
        <v>2</v>
      </c>
      <c r="E9" s="6">
        <f>D9*VLOOKUP(B9,products!$A:$E,5,0)</f>
        <v>240000</v>
      </c>
      <c r="F9" s="7">
        <v>46034.4847337963</v>
      </c>
    </row>
    <row r="10" spans="1:6" x14ac:dyDescent="0.3">
      <c r="A10" s="2">
        <v>9</v>
      </c>
      <c r="B10" s="2">
        <v>24</v>
      </c>
      <c r="C10" s="8">
        <v>46036</v>
      </c>
      <c r="D10" s="2">
        <v>1</v>
      </c>
      <c r="E10" s="3">
        <f>D10*VLOOKUP(B10,products!$A:$E,5,0)</f>
        <v>35000</v>
      </c>
      <c r="F10" s="4">
        <v>46036.639212962997</v>
      </c>
    </row>
    <row r="11" spans="1:6" x14ac:dyDescent="0.3">
      <c r="A11" s="5">
        <v>10</v>
      </c>
      <c r="B11" s="5">
        <v>21</v>
      </c>
      <c r="C11" s="9">
        <v>46038</v>
      </c>
      <c r="D11" s="5">
        <v>1</v>
      </c>
      <c r="E11" s="6">
        <f>D11*VLOOKUP(B11,products!$A:$E,5,0)</f>
        <v>250000</v>
      </c>
      <c r="F11" s="7">
        <v>46038.481412036999</v>
      </c>
    </row>
    <row r="12" spans="1:6" x14ac:dyDescent="0.3">
      <c r="A12" s="2">
        <v>11</v>
      </c>
      <c r="B12" s="2">
        <v>17</v>
      </c>
      <c r="C12" s="8">
        <v>46042</v>
      </c>
      <c r="D12" s="2">
        <v>3</v>
      </c>
      <c r="E12" s="3">
        <f>D12*VLOOKUP(B12,products!$A:$E,5,0)</f>
        <v>150000</v>
      </c>
      <c r="F12" s="4">
        <v>46042.521527777797</v>
      </c>
    </row>
    <row r="13" spans="1:6" x14ac:dyDescent="0.3">
      <c r="A13" s="5">
        <v>12</v>
      </c>
      <c r="B13" s="5">
        <v>3</v>
      </c>
      <c r="C13" s="9">
        <v>46042</v>
      </c>
      <c r="D13" s="5">
        <v>2</v>
      </c>
      <c r="E13" s="6">
        <f>D13*VLOOKUP(B13,products!$A:$E,5,0)</f>
        <v>100000</v>
      </c>
      <c r="F13" s="7">
        <v>46042.395613425899</v>
      </c>
    </row>
    <row r="14" spans="1:6" x14ac:dyDescent="0.3">
      <c r="A14" s="2">
        <v>13</v>
      </c>
      <c r="B14" s="2">
        <v>23</v>
      </c>
      <c r="C14" s="8">
        <v>46045</v>
      </c>
      <c r="D14" s="2">
        <v>1</v>
      </c>
      <c r="E14" s="3">
        <f>D14*VLOOKUP(B14,products!$A:$E,5,0)</f>
        <v>75000</v>
      </c>
      <c r="F14" s="4">
        <v>46045.5184606482</v>
      </c>
    </row>
    <row r="15" spans="1:6" x14ac:dyDescent="0.3">
      <c r="A15" s="5">
        <v>14</v>
      </c>
      <c r="B15" s="5">
        <v>21</v>
      </c>
      <c r="C15" s="9">
        <v>46045</v>
      </c>
      <c r="D15" s="5">
        <v>2</v>
      </c>
      <c r="E15" s="6">
        <f>D15*VLOOKUP(B15,products!$A:$E,5,0)</f>
        <v>500000</v>
      </c>
      <c r="F15" s="7">
        <v>46045.406435185199</v>
      </c>
    </row>
    <row r="16" spans="1:6" x14ac:dyDescent="0.3">
      <c r="A16" s="2">
        <v>15</v>
      </c>
      <c r="B16" s="2">
        <v>4</v>
      </c>
      <c r="C16" s="8">
        <v>46046</v>
      </c>
      <c r="D16" s="2">
        <v>2</v>
      </c>
      <c r="E16" s="3">
        <f>D16*VLOOKUP(B16,products!$A:$E,5,0)</f>
        <v>70000</v>
      </c>
      <c r="F16" s="4">
        <v>46046.575162036999</v>
      </c>
    </row>
    <row r="17" spans="1:6" x14ac:dyDescent="0.3">
      <c r="A17" s="5">
        <v>16</v>
      </c>
      <c r="B17" s="5">
        <v>15</v>
      </c>
      <c r="C17" s="9">
        <v>46048</v>
      </c>
      <c r="D17" s="5">
        <v>3</v>
      </c>
      <c r="E17" s="6">
        <f>D17*VLOOKUP(B17,products!$A:$E,5,0)</f>
        <v>180000</v>
      </c>
      <c r="F17" s="7">
        <v>46048.679178240702</v>
      </c>
    </row>
    <row r="18" spans="1:6" x14ac:dyDescent="0.3">
      <c r="A18" s="2">
        <v>17</v>
      </c>
      <c r="B18" s="2">
        <v>1</v>
      </c>
      <c r="C18" s="8">
        <v>46049</v>
      </c>
      <c r="D18" s="2">
        <v>1</v>
      </c>
      <c r="E18" s="3">
        <f>D18*VLOOKUP(B18,products!$A:$E,5,0)</f>
        <v>75000</v>
      </c>
      <c r="F18" s="4">
        <v>46049.400567129604</v>
      </c>
    </row>
    <row r="19" spans="1:6" x14ac:dyDescent="0.3">
      <c r="A19" s="5">
        <v>18</v>
      </c>
      <c r="B19" s="5">
        <v>13</v>
      </c>
      <c r="C19" s="9">
        <v>46054</v>
      </c>
      <c r="D19" s="5">
        <v>1</v>
      </c>
      <c r="E19" s="6">
        <f>D19*VLOOKUP(B19,products!$A:$E,5,0)</f>
        <v>50000</v>
      </c>
      <c r="F19" s="7">
        <v>46054.400462963</v>
      </c>
    </row>
    <row r="20" spans="1:6" x14ac:dyDescent="0.3">
      <c r="A20" s="2">
        <v>19</v>
      </c>
      <c r="B20" s="2">
        <v>24</v>
      </c>
      <c r="C20" s="8">
        <v>46056</v>
      </c>
      <c r="D20" s="2">
        <v>3</v>
      </c>
      <c r="E20" s="3">
        <f>D20*VLOOKUP(B20,products!$A:$E,5,0)</f>
        <v>105000</v>
      </c>
      <c r="F20" s="4">
        <v>46056.4928587963</v>
      </c>
    </row>
    <row r="21" spans="1:6" x14ac:dyDescent="0.3">
      <c r="A21" s="5">
        <v>20</v>
      </c>
      <c r="B21" s="5">
        <v>25</v>
      </c>
      <c r="C21" s="9">
        <v>46059</v>
      </c>
      <c r="D21" s="5">
        <v>1</v>
      </c>
      <c r="E21" s="6">
        <f>D21*VLOOKUP(B21,products!$A:$E,5,0)</f>
        <v>50000</v>
      </c>
      <c r="F21" s="7">
        <v>46059.514641203699</v>
      </c>
    </row>
    <row r="22" spans="1:6" x14ac:dyDescent="0.3">
      <c r="A22" s="2">
        <v>21</v>
      </c>
      <c r="B22" s="2">
        <v>7</v>
      </c>
      <c r="C22" s="8">
        <v>46062</v>
      </c>
      <c r="D22" s="2">
        <v>1</v>
      </c>
      <c r="E22" s="3">
        <f>D22*VLOOKUP(B22,products!$A:$E,5,0)</f>
        <v>25000</v>
      </c>
      <c r="F22" s="4">
        <v>46062.514583333301</v>
      </c>
    </row>
    <row r="23" spans="1:6" x14ac:dyDescent="0.3">
      <c r="A23" s="5">
        <v>22</v>
      </c>
      <c r="B23" s="5">
        <v>5</v>
      </c>
      <c r="C23" s="9">
        <v>46064</v>
      </c>
      <c r="D23" s="5">
        <v>1</v>
      </c>
      <c r="E23" s="6">
        <f>D23*VLOOKUP(B23,products!$A:$E,5,0)</f>
        <v>40000</v>
      </c>
      <c r="F23" s="7">
        <v>46064.617349537002</v>
      </c>
    </row>
    <row r="24" spans="1:6" x14ac:dyDescent="0.3">
      <c r="A24" s="2">
        <v>23</v>
      </c>
      <c r="B24" s="2">
        <v>19</v>
      </c>
      <c r="C24" s="8">
        <v>46064</v>
      </c>
      <c r="D24" s="2">
        <v>1</v>
      </c>
      <c r="E24" s="3">
        <f>D24*VLOOKUP(B24,products!$A:$E,5,0)</f>
        <v>350000</v>
      </c>
      <c r="F24" s="4">
        <v>46064.380729166704</v>
      </c>
    </row>
    <row r="25" spans="1:6" x14ac:dyDescent="0.3">
      <c r="A25" s="5">
        <v>24</v>
      </c>
      <c r="B25" s="5">
        <v>3</v>
      </c>
      <c r="C25" s="9">
        <v>46066</v>
      </c>
      <c r="D25" s="5">
        <v>3</v>
      </c>
      <c r="E25" s="6">
        <f>D25*VLOOKUP(B25,products!$A:$E,5,0)</f>
        <v>150000</v>
      </c>
      <c r="F25" s="7">
        <v>46066.375034722201</v>
      </c>
    </row>
    <row r="26" spans="1:6" x14ac:dyDescent="0.3">
      <c r="A26" s="2">
        <v>25</v>
      </c>
      <c r="B26" s="2">
        <v>8</v>
      </c>
      <c r="C26" s="8">
        <v>46066</v>
      </c>
      <c r="D26" s="2">
        <v>2</v>
      </c>
      <c r="E26" s="3">
        <f>D26*VLOOKUP(B26,products!$A:$E,5,0)</f>
        <v>200000</v>
      </c>
      <c r="F26" s="4">
        <v>46066.660775463002</v>
      </c>
    </row>
    <row r="27" spans="1:6" x14ac:dyDescent="0.3">
      <c r="A27" s="5">
        <v>26</v>
      </c>
      <c r="B27" s="5">
        <v>3</v>
      </c>
      <c r="C27" s="9">
        <v>46073</v>
      </c>
      <c r="D27" s="5">
        <v>1</v>
      </c>
      <c r="E27" s="6">
        <f>D27*VLOOKUP(B27,products!$A:$E,5,0)</f>
        <v>50000</v>
      </c>
      <c r="F27" s="7">
        <v>46073.4469328704</v>
      </c>
    </row>
    <row r="28" spans="1:6" x14ac:dyDescent="0.3">
      <c r="A28" s="2">
        <v>27</v>
      </c>
      <c r="B28" s="2">
        <v>7</v>
      </c>
      <c r="C28" s="8">
        <v>46074</v>
      </c>
      <c r="D28" s="2">
        <v>1</v>
      </c>
      <c r="E28" s="3">
        <f>D28*VLOOKUP(B28,products!$A:$E,5,0)</f>
        <v>25000</v>
      </c>
      <c r="F28" s="4">
        <v>46074.478148148199</v>
      </c>
    </row>
    <row r="29" spans="1:6" x14ac:dyDescent="0.3">
      <c r="A29" s="5">
        <v>28</v>
      </c>
      <c r="B29" s="5">
        <v>3</v>
      </c>
      <c r="C29" s="9">
        <v>46074</v>
      </c>
      <c r="D29" s="5">
        <v>1</v>
      </c>
      <c r="E29" s="6">
        <f>D29*VLOOKUP(B29,products!$A:$E,5,0)</f>
        <v>50000</v>
      </c>
      <c r="F29" s="7">
        <v>46074.490844907399</v>
      </c>
    </row>
    <row r="30" spans="1:6" x14ac:dyDescent="0.3">
      <c r="A30" s="2">
        <v>29</v>
      </c>
      <c r="B30" s="2">
        <v>6</v>
      </c>
      <c r="C30" s="8">
        <v>46074</v>
      </c>
      <c r="D30" s="2">
        <v>1</v>
      </c>
      <c r="E30" s="3">
        <f>D30*VLOOKUP(B30,products!$A:$E,5,0)</f>
        <v>150000</v>
      </c>
      <c r="F30" s="4">
        <v>46074.435196759303</v>
      </c>
    </row>
    <row r="31" spans="1:6" x14ac:dyDescent="0.3">
      <c r="A31" s="5">
        <v>30</v>
      </c>
      <c r="B31" s="5">
        <v>19</v>
      </c>
      <c r="C31" s="9">
        <v>46075</v>
      </c>
      <c r="D31" s="5">
        <v>1</v>
      </c>
      <c r="E31" s="6">
        <f>D31*VLOOKUP(B31,products!$A:$E,5,0)</f>
        <v>350000</v>
      </c>
      <c r="F31" s="7">
        <v>46075.505150463003</v>
      </c>
    </row>
    <row r="32" spans="1:6" x14ac:dyDescent="0.3">
      <c r="A32" s="2">
        <v>31</v>
      </c>
      <c r="B32" s="2">
        <v>23</v>
      </c>
      <c r="C32" s="8">
        <v>46075</v>
      </c>
      <c r="D32" s="2">
        <v>1</v>
      </c>
      <c r="E32" s="3">
        <f>D32*VLOOKUP(B32,products!$A:$E,5,0)</f>
        <v>75000</v>
      </c>
      <c r="F32" s="4">
        <v>46075.5090277778</v>
      </c>
    </row>
    <row r="33" spans="1:6" x14ac:dyDescent="0.3">
      <c r="A33" s="5">
        <v>32</v>
      </c>
      <c r="B33" s="5">
        <v>19</v>
      </c>
      <c r="C33" s="9">
        <v>46077</v>
      </c>
      <c r="D33" s="5">
        <v>2</v>
      </c>
      <c r="E33" s="6">
        <f>D33*VLOOKUP(B33,products!$A:$E,5,0)</f>
        <v>700000</v>
      </c>
      <c r="F33" s="7">
        <v>46077.538784722201</v>
      </c>
    </row>
    <row r="34" spans="1:6" x14ac:dyDescent="0.3">
      <c r="A34" s="2">
        <v>33</v>
      </c>
      <c r="B34" s="2">
        <v>13</v>
      </c>
      <c r="C34" s="8">
        <v>46077</v>
      </c>
      <c r="D34" s="2">
        <v>1</v>
      </c>
      <c r="E34" s="3">
        <f>D34*VLOOKUP(B34,products!$A:$E,5,0)</f>
        <v>50000</v>
      </c>
      <c r="F34" s="4">
        <v>46077.538900462998</v>
      </c>
    </row>
    <row r="35" spans="1:6" x14ac:dyDescent="0.3">
      <c r="A35" s="5">
        <v>34</v>
      </c>
      <c r="B35" s="5">
        <v>15</v>
      </c>
      <c r="C35" s="9">
        <v>46080</v>
      </c>
      <c r="D35" s="5">
        <v>1</v>
      </c>
      <c r="E35" s="6">
        <f>D35*VLOOKUP(B35,products!$A:$E,5,0)</f>
        <v>60000</v>
      </c>
      <c r="F35" s="7">
        <v>46080.466261574104</v>
      </c>
    </row>
    <row r="36" spans="1:6" x14ac:dyDescent="0.3">
      <c r="A36" s="2">
        <v>35</v>
      </c>
      <c r="B36" s="2">
        <v>15</v>
      </c>
      <c r="C36" s="8">
        <v>46084</v>
      </c>
      <c r="D36" s="2">
        <v>2</v>
      </c>
      <c r="E36" s="3">
        <f>D36*VLOOKUP(B36,products!$A:$E,5,0)</f>
        <v>120000</v>
      </c>
      <c r="F36" s="4">
        <v>46084.458773148202</v>
      </c>
    </row>
    <row r="37" spans="1:6" x14ac:dyDescent="0.3">
      <c r="A37" s="5">
        <v>36</v>
      </c>
      <c r="B37" s="5">
        <v>25</v>
      </c>
      <c r="C37" s="9">
        <v>46085</v>
      </c>
      <c r="D37" s="5">
        <v>2</v>
      </c>
      <c r="E37" s="6">
        <f>D37*VLOOKUP(B37,products!$A:$E,5,0)</f>
        <v>100000</v>
      </c>
      <c r="F37" s="7">
        <v>46085.558090277802</v>
      </c>
    </row>
    <row r="38" spans="1:6" x14ac:dyDescent="0.3">
      <c r="A38" s="2">
        <v>37</v>
      </c>
      <c r="B38" s="2">
        <v>7</v>
      </c>
      <c r="C38" s="8">
        <v>46087</v>
      </c>
      <c r="D38" s="2">
        <v>2</v>
      </c>
      <c r="E38" s="3">
        <f>D38*VLOOKUP(B38,products!$A:$E,5,0)</f>
        <v>50000</v>
      </c>
      <c r="F38" s="4">
        <v>46087.630983796298</v>
      </c>
    </row>
    <row r="39" spans="1:6" x14ac:dyDescent="0.3">
      <c r="A39" s="5">
        <v>38</v>
      </c>
      <c r="B39" s="5">
        <v>17</v>
      </c>
      <c r="C39" s="9">
        <v>46088</v>
      </c>
      <c r="D39" s="5">
        <v>1</v>
      </c>
      <c r="E39" s="6">
        <f>D39*VLOOKUP(B39,products!$A:$E,5,0)</f>
        <v>50000</v>
      </c>
      <c r="F39" s="7">
        <v>46088.662222222199</v>
      </c>
    </row>
    <row r="40" spans="1:6" x14ac:dyDescent="0.3">
      <c r="A40" s="2">
        <v>39</v>
      </c>
      <c r="B40" s="2">
        <v>24</v>
      </c>
      <c r="C40" s="8">
        <v>46090</v>
      </c>
      <c r="D40" s="2">
        <v>1</v>
      </c>
      <c r="E40" s="3">
        <f>D40*VLOOKUP(B40,products!$A:$E,5,0)</f>
        <v>35000</v>
      </c>
      <c r="F40" s="4">
        <v>46090.455138888901</v>
      </c>
    </row>
    <row r="41" spans="1:6" x14ac:dyDescent="0.3">
      <c r="A41" s="5">
        <v>40</v>
      </c>
      <c r="B41" s="5">
        <v>7</v>
      </c>
      <c r="C41" s="9">
        <v>46090</v>
      </c>
      <c r="D41" s="5">
        <v>1</v>
      </c>
      <c r="E41" s="6">
        <f>D41*VLOOKUP(B41,products!$A:$E,5,0)</f>
        <v>25000</v>
      </c>
      <c r="F41" s="7">
        <v>46090.4445486111</v>
      </c>
    </row>
    <row r="42" spans="1:6" x14ac:dyDescent="0.3">
      <c r="A42" s="2">
        <v>41</v>
      </c>
      <c r="B42" s="2">
        <v>15</v>
      </c>
      <c r="C42" s="8">
        <v>46091</v>
      </c>
      <c r="D42" s="2">
        <v>1</v>
      </c>
      <c r="E42" s="3">
        <f>D42*VLOOKUP(B42,products!$A:$E,5,0)</f>
        <v>60000</v>
      </c>
      <c r="F42" s="4">
        <v>46091.540439814802</v>
      </c>
    </row>
    <row r="43" spans="1:6" x14ac:dyDescent="0.3">
      <c r="A43" s="5">
        <v>42</v>
      </c>
      <c r="B43" s="5">
        <v>8</v>
      </c>
      <c r="C43" s="9">
        <v>46091</v>
      </c>
      <c r="D43" s="5">
        <v>1</v>
      </c>
      <c r="E43" s="6">
        <f>D43*VLOOKUP(B43,products!$A:$E,5,0)</f>
        <v>100000</v>
      </c>
      <c r="F43" s="7">
        <v>46091.490416666697</v>
      </c>
    </row>
    <row r="44" spans="1:6" x14ac:dyDescent="0.3">
      <c r="A44" s="2">
        <v>43</v>
      </c>
      <c r="B44" s="2">
        <v>11</v>
      </c>
      <c r="C44" s="8">
        <v>46091</v>
      </c>
      <c r="D44" s="2">
        <v>1</v>
      </c>
      <c r="E44" s="3">
        <f>D44*VLOOKUP(B44,products!$A:$E,5,0)</f>
        <v>75000</v>
      </c>
      <c r="F44" s="4">
        <v>46091.449768518498</v>
      </c>
    </row>
    <row r="45" spans="1:6" x14ac:dyDescent="0.3">
      <c r="A45" s="5">
        <v>44</v>
      </c>
      <c r="B45" s="5">
        <v>3</v>
      </c>
      <c r="C45" s="9">
        <v>46091</v>
      </c>
      <c r="D45" s="5">
        <v>1</v>
      </c>
      <c r="E45" s="6">
        <f>D45*VLOOKUP(B45,products!$A:$E,5,0)</f>
        <v>50000</v>
      </c>
      <c r="F45" s="7">
        <v>46091.675497685203</v>
      </c>
    </row>
    <row r="46" spans="1:6" x14ac:dyDescent="0.3">
      <c r="A46" s="2">
        <v>45</v>
      </c>
      <c r="B46" s="2">
        <v>1</v>
      </c>
      <c r="C46" s="8">
        <v>46094</v>
      </c>
      <c r="D46" s="2">
        <v>3</v>
      </c>
      <c r="E46" s="3">
        <f>D46*VLOOKUP(B46,products!$A:$E,5,0)</f>
        <v>225000</v>
      </c>
      <c r="F46" s="4">
        <v>46094.6225694444</v>
      </c>
    </row>
    <row r="47" spans="1:6" x14ac:dyDescent="0.3">
      <c r="A47" s="5">
        <v>46</v>
      </c>
      <c r="B47" s="5">
        <v>18</v>
      </c>
      <c r="C47" s="9">
        <v>46094</v>
      </c>
      <c r="D47" s="5">
        <v>2</v>
      </c>
      <c r="E47" s="6">
        <f>D47*VLOOKUP(B47,products!$A:$E,5,0)</f>
        <v>160000</v>
      </c>
      <c r="F47" s="7">
        <v>46094.393090277801</v>
      </c>
    </row>
    <row r="48" spans="1:6" x14ac:dyDescent="0.3">
      <c r="A48" s="2">
        <v>47</v>
      </c>
      <c r="B48" s="2">
        <v>11</v>
      </c>
      <c r="C48" s="8">
        <v>46097</v>
      </c>
      <c r="D48" s="2">
        <v>1</v>
      </c>
      <c r="E48" s="3">
        <f>D48*VLOOKUP(B48,products!$A:$E,5,0)</f>
        <v>75000</v>
      </c>
      <c r="F48" s="4">
        <v>46097.379189814797</v>
      </c>
    </row>
    <row r="49" spans="1:6" x14ac:dyDescent="0.3">
      <c r="A49" s="5">
        <v>48</v>
      </c>
      <c r="B49" s="5">
        <v>15</v>
      </c>
      <c r="C49" s="9">
        <v>46097</v>
      </c>
      <c r="D49" s="5">
        <v>3</v>
      </c>
      <c r="E49" s="6">
        <f>D49*VLOOKUP(B49,products!$A:$E,5,0)</f>
        <v>180000</v>
      </c>
      <c r="F49" s="7">
        <v>46097.677951388898</v>
      </c>
    </row>
    <row r="50" spans="1:6" x14ac:dyDescent="0.3">
      <c r="A50" s="2">
        <v>49</v>
      </c>
      <c r="B50" s="2">
        <v>17</v>
      </c>
      <c r="C50" s="8">
        <v>46099</v>
      </c>
      <c r="D50" s="2">
        <v>1</v>
      </c>
      <c r="E50" s="3">
        <f>D50*VLOOKUP(B50,products!$A:$E,5,0)</f>
        <v>50000</v>
      </c>
      <c r="F50" s="4">
        <v>46099.594745370399</v>
      </c>
    </row>
    <row r="51" spans="1:6" x14ac:dyDescent="0.3">
      <c r="A51" s="5">
        <v>50</v>
      </c>
      <c r="B51" s="5">
        <v>9</v>
      </c>
      <c r="C51" s="9">
        <v>46100</v>
      </c>
      <c r="D51" s="5">
        <v>1</v>
      </c>
      <c r="E51" s="6">
        <f>D51*VLOOKUP(B51,products!$A:$E,5,0)</f>
        <v>500000</v>
      </c>
      <c r="F51" s="7">
        <v>46100.6378819444</v>
      </c>
    </row>
    <row r="52" spans="1:6" x14ac:dyDescent="0.3">
      <c r="A52" s="2">
        <v>51</v>
      </c>
      <c r="B52" s="2">
        <v>8</v>
      </c>
      <c r="C52" s="8">
        <v>46100</v>
      </c>
      <c r="D52" s="2">
        <v>1</v>
      </c>
      <c r="E52" s="3">
        <f>D52*VLOOKUP(B52,products!$A:$E,5,0)</f>
        <v>100000</v>
      </c>
      <c r="F52" s="4">
        <v>46100.458171296297</v>
      </c>
    </row>
    <row r="53" spans="1:6" x14ac:dyDescent="0.3">
      <c r="A53" s="5">
        <v>52</v>
      </c>
      <c r="B53" s="5">
        <v>4</v>
      </c>
      <c r="C53" s="9">
        <v>46104</v>
      </c>
      <c r="D53" s="5">
        <v>1</v>
      </c>
      <c r="E53" s="6">
        <f>D53*VLOOKUP(B53,products!$A:$E,5,0)</f>
        <v>35000</v>
      </c>
      <c r="F53" s="7">
        <v>46104.380717592598</v>
      </c>
    </row>
    <row r="54" spans="1:6" x14ac:dyDescent="0.3">
      <c r="A54" s="2">
        <v>53</v>
      </c>
      <c r="B54" s="2">
        <v>19</v>
      </c>
      <c r="C54" s="8">
        <v>46105</v>
      </c>
      <c r="D54" s="2">
        <v>1</v>
      </c>
      <c r="E54" s="3">
        <f>D54*VLOOKUP(B54,products!$A:$E,5,0)</f>
        <v>350000</v>
      </c>
      <c r="F54" s="4">
        <v>46105.649780092601</v>
      </c>
    </row>
    <row r="55" spans="1:6" x14ac:dyDescent="0.3">
      <c r="A55" s="5">
        <v>54</v>
      </c>
      <c r="B55" s="5">
        <v>21</v>
      </c>
      <c r="C55" s="9">
        <v>46106</v>
      </c>
      <c r="D55" s="5">
        <v>1</v>
      </c>
      <c r="E55" s="6">
        <f>D55*VLOOKUP(B55,products!$A:$E,5,0)</f>
        <v>250000</v>
      </c>
      <c r="F55" s="7">
        <v>46106.386956018498</v>
      </c>
    </row>
    <row r="56" spans="1:6" x14ac:dyDescent="0.3">
      <c r="A56" s="2">
        <v>55</v>
      </c>
      <c r="B56" s="2">
        <v>17</v>
      </c>
      <c r="C56" s="8">
        <v>46108</v>
      </c>
      <c r="D56" s="2">
        <v>2</v>
      </c>
      <c r="E56" s="3">
        <f>D56*VLOOKUP(B56,products!$A:$E,5,0)</f>
        <v>100000</v>
      </c>
      <c r="F56" s="4">
        <v>46108.490983796299</v>
      </c>
    </row>
    <row r="57" spans="1:6" x14ac:dyDescent="0.3">
      <c r="A57" s="5">
        <v>56</v>
      </c>
      <c r="B57" s="5">
        <v>23</v>
      </c>
      <c r="C57" s="9">
        <v>46112</v>
      </c>
      <c r="D57" s="5">
        <v>2</v>
      </c>
      <c r="E57" s="6">
        <f>D57*VLOOKUP(B57,products!$A:$E,5,0)</f>
        <v>150000</v>
      </c>
      <c r="F57" s="7">
        <v>46112.387106481503</v>
      </c>
    </row>
    <row r="58" spans="1:6" x14ac:dyDescent="0.3">
      <c r="A58" s="2">
        <v>57</v>
      </c>
      <c r="B58" s="2">
        <v>6</v>
      </c>
      <c r="C58" s="8">
        <v>46114</v>
      </c>
      <c r="D58" s="2">
        <v>1</v>
      </c>
      <c r="E58" s="3">
        <f>D58*VLOOKUP(B58,products!$A:$E,5,0)</f>
        <v>150000</v>
      </c>
      <c r="F58" s="4">
        <v>46114.354837963001</v>
      </c>
    </row>
    <row r="59" spans="1:6" x14ac:dyDescent="0.3">
      <c r="A59" s="5">
        <v>58</v>
      </c>
      <c r="B59" s="5">
        <v>16</v>
      </c>
      <c r="C59" s="9">
        <v>46116</v>
      </c>
      <c r="D59" s="5">
        <v>1</v>
      </c>
      <c r="E59" s="6">
        <f>D59*VLOOKUP(B59,products!$A:$E,5,0)</f>
        <v>150000</v>
      </c>
      <c r="F59" s="7">
        <v>46116.572442129604</v>
      </c>
    </row>
    <row r="60" spans="1:6" x14ac:dyDescent="0.3">
      <c r="A60" s="2">
        <v>59</v>
      </c>
      <c r="B60" s="2">
        <v>15</v>
      </c>
      <c r="C60" s="8">
        <v>46116</v>
      </c>
      <c r="D60" s="2">
        <v>1</v>
      </c>
      <c r="E60" s="3">
        <f>D60*VLOOKUP(B60,products!$A:$E,5,0)</f>
        <v>60000</v>
      </c>
      <c r="F60" s="4">
        <v>46116.334467592598</v>
      </c>
    </row>
    <row r="61" spans="1:6" x14ac:dyDescent="0.3">
      <c r="A61" s="5">
        <v>60</v>
      </c>
      <c r="B61" s="5">
        <v>20</v>
      </c>
      <c r="C61" s="9">
        <v>46119</v>
      </c>
      <c r="D61" s="5">
        <v>1</v>
      </c>
      <c r="E61" s="6">
        <f>D61*VLOOKUP(B61,products!$A:$E,5,0)</f>
        <v>250000</v>
      </c>
      <c r="F61" s="7">
        <v>46119.395879629599</v>
      </c>
    </row>
    <row r="62" spans="1:6" x14ac:dyDescent="0.3">
      <c r="A62" s="2">
        <v>61</v>
      </c>
      <c r="B62" s="2">
        <v>13</v>
      </c>
      <c r="C62" s="8">
        <v>46120</v>
      </c>
      <c r="D62" s="2">
        <v>1</v>
      </c>
      <c r="E62" s="3">
        <f>D62*VLOOKUP(B62,products!$A:$E,5,0)</f>
        <v>50000</v>
      </c>
      <c r="F62" s="4">
        <v>46120.513981481497</v>
      </c>
    </row>
    <row r="63" spans="1:6" x14ac:dyDescent="0.3">
      <c r="A63" s="5">
        <v>62</v>
      </c>
      <c r="B63" s="5">
        <v>24</v>
      </c>
      <c r="C63" s="9">
        <v>46122</v>
      </c>
      <c r="D63" s="5">
        <v>2</v>
      </c>
      <c r="E63" s="6">
        <f>D63*VLOOKUP(B63,products!$A:$E,5,0)</f>
        <v>70000</v>
      </c>
      <c r="F63" s="7">
        <v>46122.3781018519</v>
      </c>
    </row>
    <row r="64" spans="1:6" x14ac:dyDescent="0.3">
      <c r="A64" s="2">
        <v>63</v>
      </c>
      <c r="B64" s="2">
        <v>9</v>
      </c>
      <c r="C64" s="8">
        <v>46123</v>
      </c>
      <c r="D64" s="2">
        <v>2</v>
      </c>
      <c r="E64" s="3">
        <f>D64*VLOOKUP(B64,products!$A:$E,5,0)</f>
        <v>1000000</v>
      </c>
      <c r="F64" s="4">
        <v>46123.683182870402</v>
      </c>
    </row>
    <row r="65" spans="1:6" x14ac:dyDescent="0.3">
      <c r="A65" s="5">
        <v>64</v>
      </c>
      <c r="B65" s="5">
        <v>6</v>
      </c>
      <c r="C65" s="9">
        <v>46123</v>
      </c>
      <c r="D65" s="5">
        <v>1</v>
      </c>
      <c r="E65" s="6">
        <f>D65*VLOOKUP(B65,products!$A:$E,5,0)</f>
        <v>150000</v>
      </c>
      <c r="F65" s="7">
        <v>46123.373599537001</v>
      </c>
    </row>
    <row r="66" spans="1:6" x14ac:dyDescent="0.3">
      <c r="A66" s="2">
        <v>65</v>
      </c>
      <c r="B66" s="2">
        <v>13</v>
      </c>
      <c r="C66" s="8">
        <v>46125</v>
      </c>
      <c r="D66" s="2">
        <v>1</v>
      </c>
      <c r="E66" s="3">
        <f>D66*VLOOKUP(B66,products!$A:$E,5,0)</f>
        <v>50000</v>
      </c>
      <c r="F66" s="4">
        <v>46125.452060185198</v>
      </c>
    </row>
    <row r="67" spans="1:6" x14ac:dyDescent="0.3">
      <c r="A67" s="5">
        <v>66</v>
      </c>
      <c r="B67" s="5">
        <v>24</v>
      </c>
      <c r="C67" s="9">
        <v>46128</v>
      </c>
      <c r="D67" s="5">
        <v>1</v>
      </c>
      <c r="E67" s="6">
        <f>D67*VLOOKUP(B67,products!$A:$E,5,0)</f>
        <v>35000</v>
      </c>
      <c r="F67" s="7">
        <v>46128.557002314803</v>
      </c>
    </row>
    <row r="68" spans="1:6" x14ac:dyDescent="0.3">
      <c r="A68" s="2">
        <v>67</v>
      </c>
      <c r="B68" s="2">
        <v>17</v>
      </c>
      <c r="C68" s="8">
        <v>46128</v>
      </c>
      <c r="D68" s="2">
        <v>1</v>
      </c>
      <c r="E68" s="3">
        <f>D68*VLOOKUP(B68,products!$A:$E,5,0)</f>
        <v>50000</v>
      </c>
      <c r="F68" s="4">
        <v>46128.664629629602</v>
      </c>
    </row>
    <row r="69" spans="1:6" x14ac:dyDescent="0.3">
      <c r="A69" s="5">
        <v>68</v>
      </c>
      <c r="B69" s="5">
        <v>12</v>
      </c>
      <c r="C69" s="9">
        <v>46129</v>
      </c>
      <c r="D69" s="5">
        <v>1</v>
      </c>
      <c r="E69" s="6">
        <f>D69*VLOOKUP(B69,products!$A:$E,5,0)</f>
        <v>120000</v>
      </c>
      <c r="F69" s="7">
        <v>46129.618067129602</v>
      </c>
    </row>
    <row r="70" spans="1:6" x14ac:dyDescent="0.3">
      <c r="A70" s="2">
        <v>69</v>
      </c>
      <c r="B70" s="2">
        <v>12</v>
      </c>
      <c r="C70" s="8">
        <v>46130</v>
      </c>
      <c r="D70" s="2">
        <v>1</v>
      </c>
      <c r="E70" s="3">
        <f>D70*VLOOKUP(B70,products!$A:$E,5,0)</f>
        <v>120000</v>
      </c>
      <c r="F70" s="4">
        <v>46130.65</v>
      </c>
    </row>
    <row r="71" spans="1:6" x14ac:dyDescent="0.3">
      <c r="A71" s="5">
        <v>70</v>
      </c>
      <c r="B71" s="5">
        <v>15</v>
      </c>
      <c r="C71" s="9">
        <v>46134</v>
      </c>
      <c r="D71" s="5">
        <v>2</v>
      </c>
      <c r="E71" s="6">
        <f>D71*VLOOKUP(B71,products!$A:$E,5,0)</f>
        <v>120000</v>
      </c>
      <c r="F71" s="7">
        <v>46134.600428240701</v>
      </c>
    </row>
    <row r="72" spans="1:6" x14ac:dyDescent="0.3">
      <c r="A72" s="2">
        <v>71</v>
      </c>
      <c r="B72" s="2">
        <v>11</v>
      </c>
      <c r="C72" s="8">
        <v>46140</v>
      </c>
      <c r="D72" s="2">
        <v>2</v>
      </c>
      <c r="E72" s="3">
        <f>D72*VLOOKUP(B72,products!$A:$E,5,0)</f>
        <v>150000</v>
      </c>
      <c r="F72" s="4">
        <v>46140.359768518501</v>
      </c>
    </row>
    <row r="73" spans="1:6" x14ac:dyDescent="0.3">
      <c r="A73" s="5">
        <v>72</v>
      </c>
      <c r="B73" s="5">
        <v>13</v>
      </c>
      <c r="C73" s="9">
        <v>46140</v>
      </c>
      <c r="D73" s="5">
        <v>2</v>
      </c>
      <c r="E73" s="6">
        <f>D73*VLOOKUP(B73,products!$A:$E,5,0)</f>
        <v>100000</v>
      </c>
      <c r="F73" s="7">
        <v>46140.378935185203</v>
      </c>
    </row>
    <row r="74" spans="1:6" x14ac:dyDescent="0.3">
      <c r="A74" s="2">
        <v>73</v>
      </c>
      <c r="B74" s="2">
        <v>25</v>
      </c>
      <c r="C74" s="8">
        <v>46140</v>
      </c>
      <c r="D74" s="2">
        <v>2</v>
      </c>
      <c r="E74" s="3">
        <f>D74*VLOOKUP(B74,products!$A:$E,5,0)</f>
        <v>100000</v>
      </c>
      <c r="F74" s="4">
        <v>46140.386759259301</v>
      </c>
    </row>
    <row r="75" spans="1:6" x14ac:dyDescent="0.3">
      <c r="A75" s="5">
        <v>74</v>
      </c>
      <c r="B75" s="5">
        <v>24</v>
      </c>
      <c r="C75" s="9">
        <v>46140</v>
      </c>
      <c r="D75" s="5">
        <v>2</v>
      </c>
      <c r="E75" s="6">
        <f>D75*VLOOKUP(B75,products!$A:$E,5,0)</f>
        <v>70000</v>
      </c>
      <c r="F75" s="7">
        <v>46140.6155208333</v>
      </c>
    </row>
    <row r="76" spans="1:6" x14ac:dyDescent="0.3">
      <c r="A76" s="2">
        <v>75</v>
      </c>
      <c r="B76" s="2">
        <v>21</v>
      </c>
      <c r="C76" s="8">
        <v>46141</v>
      </c>
      <c r="D76" s="2">
        <v>1</v>
      </c>
      <c r="E76" s="3">
        <f>D76*VLOOKUP(B76,products!$A:$E,5,0)</f>
        <v>250000</v>
      </c>
      <c r="F76" s="4">
        <v>46141.624849537002</v>
      </c>
    </row>
    <row r="77" spans="1:6" x14ac:dyDescent="0.3">
      <c r="A77" s="5">
        <v>76</v>
      </c>
      <c r="B77" s="5">
        <v>4</v>
      </c>
      <c r="C77" s="9">
        <v>46141</v>
      </c>
      <c r="D77" s="5">
        <v>2</v>
      </c>
      <c r="E77" s="6">
        <f>D77*VLOOKUP(B77,products!$A:$E,5,0)</f>
        <v>70000</v>
      </c>
      <c r="F77" s="7">
        <v>46141.644780092603</v>
      </c>
    </row>
    <row r="78" spans="1:6" x14ac:dyDescent="0.3">
      <c r="A78" s="2">
        <v>77</v>
      </c>
      <c r="B78" s="2">
        <v>13</v>
      </c>
      <c r="C78" s="8">
        <v>46141</v>
      </c>
      <c r="D78" s="2">
        <v>1</v>
      </c>
      <c r="E78" s="3">
        <f>D78*VLOOKUP(B78,products!$A:$E,5,0)</f>
        <v>50000</v>
      </c>
      <c r="F78" s="4">
        <v>46141.670520833301</v>
      </c>
    </row>
    <row r="79" spans="1:6" x14ac:dyDescent="0.3">
      <c r="A79" s="5">
        <v>78</v>
      </c>
      <c r="B79" s="5">
        <v>13</v>
      </c>
      <c r="C79" s="9">
        <v>46144</v>
      </c>
      <c r="D79" s="5">
        <v>1</v>
      </c>
      <c r="E79" s="6">
        <f>D79*VLOOKUP(B79,products!$A:$E,5,0)</f>
        <v>50000</v>
      </c>
      <c r="F79" s="7">
        <v>46144.6741666667</v>
      </c>
    </row>
    <row r="80" spans="1:6" x14ac:dyDescent="0.3">
      <c r="A80" s="2">
        <v>79</v>
      </c>
      <c r="B80" s="2">
        <v>17</v>
      </c>
      <c r="C80" s="8">
        <v>46144</v>
      </c>
      <c r="D80" s="2">
        <v>1</v>
      </c>
      <c r="E80" s="3">
        <f>D80*VLOOKUP(B80,products!$A:$E,5,0)</f>
        <v>50000</v>
      </c>
      <c r="F80" s="4">
        <v>46144.571516203701</v>
      </c>
    </row>
    <row r="81" spans="1:6" x14ac:dyDescent="0.3">
      <c r="A81" s="5">
        <v>80</v>
      </c>
      <c r="B81" s="5">
        <v>15</v>
      </c>
      <c r="C81" s="9">
        <v>46148</v>
      </c>
      <c r="D81" s="5">
        <v>2</v>
      </c>
      <c r="E81" s="6">
        <f>D81*VLOOKUP(B81,products!$A:$E,5,0)</f>
        <v>120000</v>
      </c>
      <c r="F81" s="7">
        <v>46148.647187499999</v>
      </c>
    </row>
    <row r="82" spans="1:6" x14ac:dyDescent="0.3">
      <c r="A82" s="2">
        <v>81</v>
      </c>
      <c r="B82" s="2">
        <v>2</v>
      </c>
      <c r="C82" s="8">
        <v>46148</v>
      </c>
      <c r="D82" s="2">
        <v>1</v>
      </c>
      <c r="E82" s="3">
        <f>D82*VLOOKUP(B82,products!$A:$E,5,0)</f>
        <v>150000</v>
      </c>
      <c r="F82" s="4">
        <v>46148.472511574102</v>
      </c>
    </row>
    <row r="83" spans="1:6" x14ac:dyDescent="0.3">
      <c r="A83" s="5">
        <v>82</v>
      </c>
      <c r="B83" s="5">
        <v>5</v>
      </c>
      <c r="C83" s="9">
        <v>46148</v>
      </c>
      <c r="D83" s="5">
        <v>1</v>
      </c>
      <c r="E83" s="6">
        <f>D83*VLOOKUP(B83,products!$A:$E,5,0)</f>
        <v>40000</v>
      </c>
      <c r="F83" s="7">
        <v>46148.508796296301</v>
      </c>
    </row>
    <row r="84" spans="1:6" x14ac:dyDescent="0.3">
      <c r="A84" s="2">
        <v>83</v>
      </c>
      <c r="B84" s="2">
        <v>17</v>
      </c>
      <c r="C84" s="8">
        <v>46150</v>
      </c>
      <c r="D84" s="2">
        <v>1</v>
      </c>
      <c r="E84" s="3">
        <f>D84*VLOOKUP(B84,products!$A:$E,5,0)</f>
        <v>50000</v>
      </c>
      <c r="F84" s="4">
        <v>46150.619340277801</v>
      </c>
    </row>
    <row r="85" spans="1:6" x14ac:dyDescent="0.3">
      <c r="A85" s="5">
        <v>84</v>
      </c>
      <c r="B85" s="5">
        <v>2</v>
      </c>
      <c r="C85" s="9">
        <v>46150</v>
      </c>
      <c r="D85" s="5">
        <v>1</v>
      </c>
      <c r="E85" s="6">
        <f>D85*VLOOKUP(B85,products!$A:$E,5,0)</f>
        <v>150000</v>
      </c>
      <c r="F85" s="7">
        <v>46150.497372685197</v>
      </c>
    </row>
    <row r="86" spans="1:6" x14ac:dyDescent="0.3">
      <c r="A86" s="2">
        <v>85</v>
      </c>
      <c r="B86" s="2">
        <v>21</v>
      </c>
      <c r="C86" s="8">
        <v>46151</v>
      </c>
      <c r="D86" s="2">
        <v>2</v>
      </c>
      <c r="E86" s="3">
        <f>D86*VLOOKUP(B86,products!$A:$E,5,0)</f>
        <v>500000</v>
      </c>
      <c r="F86" s="4">
        <v>46151.5934837963</v>
      </c>
    </row>
    <row r="87" spans="1:6" x14ac:dyDescent="0.3">
      <c r="A87" s="5">
        <v>86</v>
      </c>
      <c r="B87" s="5">
        <v>25</v>
      </c>
      <c r="C87" s="9">
        <v>46151</v>
      </c>
      <c r="D87" s="5">
        <v>1</v>
      </c>
      <c r="E87" s="6">
        <f>D87*VLOOKUP(B87,products!$A:$E,5,0)</f>
        <v>50000</v>
      </c>
      <c r="F87" s="7">
        <v>46151.550787036998</v>
      </c>
    </row>
    <row r="88" spans="1:6" x14ac:dyDescent="0.3">
      <c r="A88" s="2">
        <v>87</v>
      </c>
      <c r="B88" s="2">
        <v>5</v>
      </c>
      <c r="C88" s="8">
        <v>46151</v>
      </c>
      <c r="D88" s="2">
        <v>1</v>
      </c>
      <c r="E88" s="3">
        <f>D88*VLOOKUP(B88,products!$A:$E,5,0)</f>
        <v>40000</v>
      </c>
      <c r="F88" s="4">
        <v>46151.438449074099</v>
      </c>
    </row>
    <row r="89" spans="1:6" x14ac:dyDescent="0.3">
      <c r="A89" s="5">
        <v>88</v>
      </c>
      <c r="B89" s="5">
        <v>2</v>
      </c>
      <c r="C89" s="9">
        <v>46152</v>
      </c>
      <c r="D89" s="5">
        <v>3</v>
      </c>
      <c r="E89" s="6">
        <f>D89*VLOOKUP(B89,products!$A:$E,5,0)</f>
        <v>450000</v>
      </c>
      <c r="F89" s="7">
        <v>46152.4062962963</v>
      </c>
    </row>
    <row r="90" spans="1:6" x14ac:dyDescent="0.3">
      <c r="A90" s="2">
        <v>89</v>
      </c>
      <c r="B90" s="2">
        <v>25</v>
      </c>
      <c r="C90" s="8">
        <v>46154</v>
      </c>
      <c r="D90" s="2">
        <v>2</v>
      </c>
      <c r="E90" s="3">
        <f>D90*VLOOKUP(B90,products!$A:$E,5,0)</f>
        <v>100000</v>
      </c>
      <c r="F90" s="4">
        <v>46154.536226851902</v>
      </c>
    </row>
    <row r="91" spans="1:6" x14ac:dyDescent="0.3">
      <c r="A91" s="5">
        <v>90</v>
      </c>
      <c r="B91" s="5">
        <v>18</v>
      </c>
      <c r="C91" s="9">
        <v>46164</v>
      </c>
      <c r="D91" s="5">
        <v>2</v>
      </c>
      <c r="E91" s="6">
        <f>D91*VLOOKUP(B91,products!$A:$E,5,0)</f>
        <v>160000</v>
      </c>
      <c r="F91" s="7">
        <v>46164.394791666702</v>
      </c>
    </row>
    <row r="92" spans="1:6" x14ac:dyDescent="0.3">
      <c r="A92" s="2">
        <v>91</v>
      </c>
      <c r="B92" s="2">
        <v>11</v>
      </c>
      <c r="C92" s="8">
        <v>46164</v>
      </c>
      <c r="D92" s="2">
        <v>1</v>
      </c>
      <c r="E92" s="3">
        <f>D92*VLOOKUP(B92,products!$A:$E,5,0)</f>
        <v>75000</v>
      </c>
      <c r="F92" s="4">
        <v>46164.541122685201</v>
      </c>
    </row>
    <row r="93" spans="1:6" x14ac:dyDescent="0.3">
      <c r="A93" s="5">
        <v>92</v>
      </c>
      <c r="B93" s="5">
        <v>11</v>
      </c>
      <c r="C93" s="9">
        <v>46165</v>
      </c>
      <c r="D93" s="5">
        <v>1</v>
      </c>
      <c r="E93" s="6">
        <f>D93*VLOOKUP(B93,products!$A:$E,5,0)</f>
        <v>75000</v>
      </c>
      <c r="F93" s="7">
        <v>46165.600462962997</v>
      </c>
    </row>
    <row r="94" spans="1:6" x14ac:dyDescent="0.3">
      <c r="A94" s="2">
        <v>93</v>
      </c>
      <c r="B94" s="2">
        <v>24</v>
      </c>
      <c r="C94" s="8">
        <v>46167</v>
      </c>
      <c r="D94" s="2">
        <v>1</v>
      </c>
      <c r="E94" s="3">
        <f>D94*VLOOKUP(B94,products!$A:$E,5,0)</f>
        <v>35000</v>
      </c>
      <c r="F94" s="4">
        <v>46167.688692129603</v>
      </c>
    </row>
    <row r="95" spans="1:6" x14ac:dyDescent="0.3">
      <c r="A95" s="5">
        <v>94</v>
      </c>
      <c r="B95" s="5">
        <v>7</v>
      </c>
      <c r="C95" s="9">
        <v>46168</v>
      </c>
      <c r="D95" s="5">
        <v>1</v>
      </c>
      <c r="E95" s="6">
        <f>D95*VLOOKUP(B95,products!$A:$E,5,0)</f>
        <v>25000</v>
      </c>
      <c r="F95" s="7">
        <v>46168.573530092603</v>
      </c>
    </row>
    <row r="96" spans="1:6" x14ac:dyDescent="0.3">
      <c r="A96" s="2">
        <v>95</v>
      </c>
      <c r="B96" s="2">
        <v>2</v>
      </c>
      <c r="C96" s="8">
        <v>46168</v>
      </c>
      <c r="D96" s="2">
        <v>1</v>
      </c>
      <c r="E96" s="3">
        <f>D96*VLOOKUP(B96,products!$A:$E,5,0)</f>
        <v>150000</v>
      </c>
      <c r="F96" s="4">
        <v>46168.638935185198</v>
      </c>
    </row>
    <row r="97" spans="1:6" x14ac:dyDescent="0.3">
      <c r="A97" s="5">
        <v>96</v>
      </c>
      <c r="B97" s="5">
        <v>15</v>
      </c>
      <c r="C97" s="9">
        <v>46170</v>
      </c>
      <c r="D97" s="5">
        <v>1</v>
      </c>
      <c r="E97" s="6">
        <f>D97*VLOOKUP(B97,products!$A:$E,5,0)</f>
        <v>60000</v>
      </c>
      <c r="F97" s="7">
        <v>46170.345775463</v>
      </c>
    </row>
    <row r="98" spans="1:6" x14ac:dyDescent="0.3">
      <c r="A98" s="2">
        <v>97</v>
      </c>
      <c r="B98" s="2">
        <v>7</v>
      </c>
      <c r="C98" s="8">
        <v>46171</v>
      </c>
      <c r="D98" s="2">
        <v>2</v>
      </c>
      <c r="E98" s="3">
        <f>D98*VLOOKUP(B98,products!$A:$E,5,0)</f>
        <v>50000</v>
      </c>
      <c r="F98" s="4">
        <v>46171.363715277803</v>
      </c>
    </row>
    <row r="99" spans="1:6" x14ac:dyDescent="0.3">
      <c r="A99" s="5">
        <v>98</v>
      </c>
      <c r="B99" s="5">
        <v>16</v>
      </c>
      <c r="C99" s="9">
        <v>46172</v>
      </c>
      <c r="D99" s="5">
        <v>2</v>
      </c>
      <c r="E99" s="6">
        <f>D99*VLOOKUP(B99,products!$A:$E,5,0)</f>
        <v>300000</v>
      </c>
      <c r="F99" s="7">
        <v>46172.525254629603</v>
      </c>
    </row>
    <row r="100" spans="1:6" x14ac:dyDescent="0.3">
      <c r="A100" s="2">
        <v>99</v>
      </c>
      <c r="B100" s="2">
        <v>24</v>
      </c>
      <c r="C100" s="8">
        <v>46172</v>
      </c>
      <c r="D100" s="2">
        <v>1</v>
      </c>
      <c r="E100" s="3">
        <f>D100*VLOOKUP(B100,products!$A:$E,5,0)</f>
        <v>35000</v>
      </c>
      <c r="F100" s="4">
        <v>46172.529050925899</v>
      </c>
    </row>
  </sheetData>
  <autoFilter ref="A1:F10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3" customWidth="1"/>
    <col min="4" max="4" width="16" customWidth="1"/>
    <col min="5" max="5" width="14" customWidth="1"/>
    <col min="6" max="6" width="20" customWidth="1"/>
  </cols>
  <sheetData>
    <row r="1" spans="1:6" x14ac:dyDescent="0.3">
      <c r="A1" s="1" t="s">
        <v>53</v>
      </c>
      <c r="B1" s="1" t="s">
        <v>0</v>
      </c>
      <c r="C1" s="1" t="s">
        <v>8</v>
      </c>
      <c r="D1" s="1" t="s">
        <v>54</v>
      </c>
      <c r="E1" s="1" t="s">
        <v>55</v>
      </c>
      <c r="F1" s="1" t="s">
        <v>9</v>
      </c>
    </row>
    <row r="2" spans="1:6" x14ac:dyDescent="0.3">
      <c r="A2" s="2">
        <v>1</v>
      </c>
      <c r="B2" s="2">
        <v>1</v>
      </c>
      <c r="C2" s="2">
        <v>1</v>
      </c>
      <c r="D2" s="8">
        <v>46035</v>
      </c>
      <c r="E2" s="2">
        <v>7</v>
      </c>
      <c r="F2" s="4">
        <v>46035.419861111099</v>
      </c>
    </row>
    <row r="3" spans="1:6" x14ac:dyDescent="0.3">
      <c r="A3" s="5">
        <v>2</v>
      </c>
      <c r="B3" s="5">
        <v>4</v>
      </c>
      <c r="C3" s="5">
        <v>4</v>
      </c>
      <c r="D3" s="9">
        <v>46049</v>
      </c>
      <c r="E3" s="5">
        <v>10</v>
      </c>
      <c r="F3" s="7">
        <v>46049.360567129603</v>
      </c>
    </row>
    <row r="4" spans="1:6" x14ac:dyDescent="0.3">
      <c r="A4" s="2">
        <v>3</v>
      </c>
      <c r="B4" s="2">
        <v>3</v>
      </c>
      <c r="C4" s="2">
        <v>3</v>
      </c>
      <c r="D4" s="8">
        <v>46070</v>
      </c>
      <c r="E4" s="2">
        <v>11</v>
      </c>
      <c r="F4" s="4">
        <v>46070.405254629601</v>
      </c>
    </row>
    <row r="5" spans="1:6" x14ac:dyDescent="0.3">
      <c r="A5" s="5">
        <v>4</v>
      </c>
      <c r="B5" s="5">
        <v>19</v>
      </c>
      <c r="C5" s="5">
        <v>8</v>
      </c>
      <c r="D5" s="9">
        <v>46081</v>
      </c>
      <c r="E5" s="5">
        <v>7</v>
      </c>
      <c r="F5" s="7">
        <v>46081.409259259301</v>
      </c>
    </row>
    <row r="6" spans="1:6" x14ac:dyDescent="0.3">
      <c r="A6" s="2">
        <v>5</v>
      </c>
      <c r="B6" s="2">
        <v>7</v>
      </c>
      <c r="C6" s="2">
        <v>7</v>
      </c>
      <c r="D6" s="8">
        <v>46092</v>
      </c>
      <c r="E6" s="2">
        <v>9</v>
      </c>
      <c r="F6" s="4">
        <v>46092.401377314804</v>
      </c>
    </row>
    <row r="7" spans="1:6" x14ac:dyDescent="0.3">
      <c r="A7" s="5">
        <v>6</v>
      </c>
      <c r="B7" s="5">
        <v>17</v>
      </c>
      <c r="C7" s="5">
        <v>6</v>
      </c>
      <c r="D7" s="9">
        <v>46095</v>
      </c>
      <c r="E7" s="5">
        <v>10</v>
      </c>
      <c r="F7" s="7">
        <v>46095.391192129602</v>
      </c>
    </row>
    <row r="8" spans="1:6" x14ac:dyDescent="0.3">
      <c r="A8" s="2">
        <v>7</v>
      </c>
      <c r="B8" s="2">
        <v>15</v>
      </c>
      <c r="C8" s="2">
        <v>4</v>
      </c>
      <c r="D8" s="8">
        <v>46100</v>
      </c>
      <c r="E8" s="2">
        <v>10</v>
      </c>
      <c r="F8" s="4">
        <v>46100.368182870399</v>
      </c>
    </row>
    <row r="9" spans="1:6" x14ac:dyDescent="0.3">
      <c r="A9" s="5">
        <v>8</v>
      </c>
      <c r="B9" s="5">
        <v>23</v>
      </c>
      <c r="C9" s="5">
        <v>1</v>
      </c>
      <c r="D9" s="9">
        <v>46115</v>
      </c>
      <c r="E9" s="5">
        <v>10</v>
      </c>
      <c r="F9" s="7">
        <v>46115.450868055603</v>
      </c>
    </row>
    <row r="10" spans="1:6" x14ac:dyDescent="0.3">
      <c r="A10" s="2">
        <v>9</v>
      </c>
      <c r="B10" s="2">
        <v>9</v>
      </c>
      <c r="C10" s="2">
        <v>9</v>
      </c>
      <c r="D10" s="8">
        <v>46129</v>
      </c>
      <c r="E10" s="2">
        <v>10</v>
      </c>
      <c r="F10" s="4">
        <v>46129.358553240701</v>
      </c>
    </row>
    <row r="11" spans="1:6" x14ac:dyDescent="0.3">
      <c r="A11" s="5">
        <v>10</v>
      </c>
      <c r="B11" s="5">
        <v>24</v>
      </c>
      <c r="C11" s="5">
        <v>2</v>
      </c>
      <c r="D11" s="9">
        <v>46130</v>
      </c>
      <c r="E11" s="5">
        <v>7</v>
      </c>
      <c r="F11" s="7">
        <v>46130.438842592601</v>
      </c>
    </row>
    <row r="12" spans="1:6" x14ac:dyDescent="0.3">
      <c r="A12" s="2">
        <v>11</v>
      </c>
      <c r="B12" s="2">
        <v>13</v>
      </c>
      <c r="C12" s="2">
        <v>2</v>
      </c>
      <c r="D12" s="8">
        <v>46143</v>
      </c>
      <c r="E12" s="2">
        <v>10</v>
      </c>
      <c r="F12" s="4">
        <v>46143.407268518502</v>
      </c>
    </row>
    <row r="13" spans="1:6" x14ac:dyDescent="0.3">
      <c r="A13" s="5">
        <v>12</v>
      </c>
      <c r="B13" s="5">
        <v>25</v>
      </c>
      <c r="C13" s="5">
        <v>3</v>
      </c>
      <c r="D13" s="9">
        <v>46144</v>
      </c>
      <c r="E13" s="5">
        <v>10</v>
      </c>
      <c r="F13" s="7">
        <v>46144.401435185202</v>
      </c>
    </row>
    <row r="14" spans="1:6" x14ac:dyDescent="0.3">
      <c r="A14" s="2">
        <v>13</v>
      </c>
      <c r="B14" s="2">
        <v>2</v>
      </c>
      <c r="C14" s="2">
        <v>2</v>
      </c>
      <c r="D14" s="8">
        <v>46154</v>
      </c>
      <c r="E14" s="2">
        <v>6</v>
      </c>
      <c r="F14" s="4">
        <v>46154.355856481503</v>
      </c>
    </row>
    <row r="15" spans="1:6" x14ac:dyDescent="0.3">
      <c r="A15" s="5">
        <v>14</v>
      </c>
      <c r="B15" s="5">
        <v>21</v>
      </c>
      <c r="C15" s="5">
        <v>10</v>
      </c>
      <c r="D15" s="9">
        <v>46156</v>
      </c>
      <c r="E15" s="5">
        <v>11</v>
      </c>
      <c r="F15" s="7">
        <v>46156.366909722201</v>
      </c>
    </row>
    <row r="16" spans="1:6" x14ac:dyDescent="0.3">
      <c r="A16" s="2">
        <v>15</v>
      </c>
      <c r="B16" s="2">
        <v>11</v>
      </c>
      <c r="C16" s="2">
        <v>11</v>
      </c>
      <c r="D16" s="8">
        <v>46168</v>
      </c>
      <c r="E16" s="2">
        <v>6</v>
      </c>
      <c r="F16" s="4">
        <v>46168.374664351897</v>
      </c>
    </row>
  </sheetData>
  <autoFilter ref="A1:F1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28" customWidth="1"/>
    <col min="3" max="3" width="20" customWidth="1"/>
    <col min="4" max="4" width="34" customWidth="1"/>
    <col min="5" max="5" width="20" customWidth="1"/>
    <col min="6" max="6" width="10" customWidth="1"/>
  </cols>
  <sheetData>
    <row r="1" spans="1:6" ht="16.8" x14ac:dyDescent="0.3">
      <c r="B1" s="14" t="s">
        <v>56</v>
      </c>
      <c r="C1" s="14"/>
      <c r="D1" s="14"/>
      <c r="E1" s="14"/>
      <c r="F1" s="14"/>
    </row>
    <row r="2" spans="1:6" x14ac:dyDescent="0.3">
      <c r="B2" s="15" t="s">
        <v>57</v>
      </c>
      <c r="C2" s="15"/>
      <c r="D2" s="15"/>
      <c r="E2" s="15"/>
      <c r="F2" s="15"/>
    </row>
    <row r="4" spans="1:6" ht="26.4" x14ac:dyDescent="0.3">
      <c r="A4" s="1" t="s">
        <v>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</row>
    <row r="5" spans="1:6" x14ac:dyDescent="0.3">
      <c r="A5" s="2">
        <v>1</v>
      </c>
      <c r="B5" s="2" t="s">
        <v>63</v>
      </c>
      <c r="C5" s="2" t="s">
        <v>64</v>
      </c>
      <c r="D5" s="2" t="s">
        <v>65</v>
      </c>
      <c r="E5" s="2">
        <v>3</v>
      </c>
      <c r="F5" s="2" t="s">
        <v>66</v>
      </c>
    </row>
    <row r="6" spans="1:6" x14ac:dyDescent="0.3">
      <c r="A6" s="5">
        <v>2</v>
      </c>
      <c r="B6" s="5" t="s">
        <v>67</v>
      </c>
      <c r="C6" s="5" t="s">
        <v>68</v>
      </c>
      <c r="D6" s="5" t="s">
        <v>69</v>
      </c>
      <c r="E6" s="5">
        <v>2</v>
      </c>
      <c r="F6" s="5" t="s">
        <v>66</v>
      </c>
    </row>
    <row r="7" spans="1:6" x14ac:dyDescent="0.3">
      <c r="A7" s="2">
        <v>3</v>
      </c>
      <c r="B7" s="2" t="s">
        <v>70</v>
      </c>
      <c r="C7" s="2" t="s">
        <v>71</v>
      </c>
      <c r="D7" s="2" t="s">
        <v>72</v>
      </c>
      <c r="E7" s="2">
        <v>4</v>
      </c>
      <c r="F7" s="2" t="s">
        <v>66</v>
      </c>
    </row>
    <row r="8" spans="1:6" x14ac:dyDescent="0.3">
      <c r="A8" s="5">
        <v>4</v>
      </c>
      <c r="B8" s="5" t="s">
        <v>73</v>
      </c>
      <c r="C8" s="5" t="s">
        <v>74</v>
      </c>
      <c r="D8" s="5" t="s">
        <v>75</v>
      </c>
      <c r="E8" s="5">
        <v>3</v>
      </c>
      <c r="F8" s="5" t="s">
        <v>66</v>
      </c>
    </row>
    <row r="9" spans="1:6" x14ac:dyDescent="0.3">
      <c r="A9" s="2">
        <v>5</v>
      </c>
      <c r="B9" s="2" t="s">
        <v>76</v>
      </c>
      <c r="C9" s="2" t="s">
        <v>77</v>
      </c>
      <c r="D9" s="2" t="s">
        <v>78</v>
      </c>
      <c r="E9" s="2">
        <v>5</v>
      </c>
      <c r="F9" s="2" t="s">
        <v>66</v>
      </c>
    </row>
    <row r="10" spans="1:6" x14ac:dyDescent="0.3">
      <c r="A10" s="5">
        <v>6</v>
      </c>
      <c r="B10" s="5" t="s">
        <v>79</v>
      </c>
      <c r="C10" s="5" t="s">
        <v>80</v>
      </c>
      <c r="D10" s="5" t="s">
        <v>81</v>
      </c>
      <c r="E10" s="5">
        <v>7</v>
      </c>
      <c r="F10" s="5" t="s">
        <v>66</v>
      </c>
    </row>
    <row r="11" spans="1:6" x14ac:dyDescent="0.3">
      <c r="A11" s="2">
        <v>7</v>
      </c>
      <c r="B11" s="2" t="s">
        <v>82</v>
      </c>
      <c r="C11" s="2" t="s">
        <v>83</v>
      </c>
      <c r="D11" s="2" t="s">
        <v>84</v>
      </c>
      <c r="E11" s="2">
        <v>5</v>
      </c>
      <c r="F11" s="2" t="s">
        <v>66</v>
      </c>
    </row>
    <row r="12" spans="1:6" x14ac:dyDescent="0.3">
      <c r="A12" s="5">
        <v>8</v>
      </c>
      <c r="B12" s="5" t="s">
        <v>85</v>
      </c>
      <c r="C12" s="5" t="s">
        <v>86</v>
      </c>
      <c r="D12" s="5" t="s">
        <v>87</v>
      </c>
      <c r="E12" s="5">
        <v>4</v>
      </c>
      <c r="F12" s="5" t="s">
        <v>66</v>
      </c>
    </row>
    <row r="13" spans="1:6" x14ac:dyDescent="0.3">
      <c r="A13" s="2">
        <v>9</v>
      </c>
      <c r="B13" s="2" t="s">
        <v>88</v>
      </c>
      <c r="C13" s="2" t="s">
        <v>89</v>
      </c>
      <c r="D13" s="2" t="s">
        <v>90</v>
      </c>
      <c r="E13" s="2">
        <v>6</v>
      </c>
      <c r="F13" s="2" t="s">
        <v>66</v>
      </c>
    </row>
    <row r="14" spans="1:6" x14ac:dyDescent="0.3">
      <c r="A14" s="5">
        <v>10</v>
      </c>
      <c r="B14" s="5" t="s">
        <v>91</v>
      </c>
      <c r="C14" s="5" t="s">
        <v>92</v>
      </c>
      <c r="D14" s="5" t="s">
        <v>93</v>
      </c>
      <c r="E14" s="5">
        <v>5</v>
      </c>
      <c r="F14" s="5" t="s">
        <v>66</v>
      </c>
    </row>
    <row r="15" spans="1:6" x14ac:dyDescent="0.3">
      <c r="A15" s="2">
        <v>11</v>
      </c>
      <c r="B15" s="2" t="s">
        <v>94</v>
      </c>
      <c r="C15" s="2" t="s">
        <v>95</v>
      </c>
      <c r="D15" s="2" t="s">
        <v>96</v>
      </c>
      <c r="E15" s="2">
        <v>4</v>
      </c>
      <c r="F15" s="2" t="s">
        <v>66</v>
      </c>
    </row>
  </sheetData>
  <autoFilter ref="A4:F15" xr:uid="{00000000-0009-0000-0000-000003000000}"/>
  <mergeCells count="2">
    <mergeCell ref="B1:F1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0" customWidth="1"/>
    <col min="2" max="2" width="26" customWidth="1"/>
    <col min="3" max="8" width="10" customWidth="1"/>
  </cols>
  <sheetData>
    <row r="1" spans="1:8" x14ac:dyDescent="0.3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3">
      <c r="A2" s="2">
        <v>1</v>
      </c>
      <c r="B2" s="2" t="str">
        <f>products!B2</f>
        <v>Central Lock Universal</v>
      </c>
      <c r="C2" s="2">
        <f>SUMIFS(sales!$D:$D,sales!$B:$B,$A2,sales!$C:$C,"&gt;="&amp;DATE(2026,1,1),sales!$C:$C,"&lt;="&amp;DATE(2026,1,31))</f>
        <v>7</v>
      </c>
      <c r="D2" s="2">
        <f>SUMIFS(sales!$D:$D,sales!$B:$B,$A2,sales!$C:$C,"&gt;="&amp;DATE(2026,2,1),sales!$C:$C,"&lt;="&amp;DATE(2026,2,28))</f>
        <v>0</v>
      </c>
      <c r="E2" s="2">
        <f>SUMIFS(sales!$D:$D,sales!$B:$B,$A2,sales!$C:$C,"&gt;="&amp;DATE(2026,3,1),sales!$C:$C,"&lt;="&amp;DATE(2026,3,31))</f>
        <v>3</v>
      </c>
      <c r="F2" s="2">
        <f>SUMIFS(sales!$D:$D,sales!$B:$B,$A2,sales!$C:$C,"&gt;="&amp;DATE(2026,4,1),sales!$C:$C,"&lt;="&amp;DATE(2026,4,30))</f>
        <v>0</v>
      </c>
      <c r="G2" s="2">
        <f>SUMIFS(sales!$D:$D,sales!$B:$B,$A2,sales!$C:$C,"&gt;="&amp;DATE(2026,5,1),sales!$C:$C,"&lt;="&amp;DATE(2026,5,31))</f>
        <v>0</v>
      </c>
      <c r="H2" s="2">
        <f t="shared" ref="H2:H26" si="0">SUM(C2:G2)</f>
        <v>10</v>
      </c>
    </row>
    <row r="3" spans="1:8" x14ac:dyDescent="0.3">
      <c r="A3" s="5">
        <v>2</v>
      </c>
      <c r="B3" s="5" t="str">
        <f>products!B3</f>
        <v>Tempat Plat Nomor Akrilik</v>
      </c>
      <c r="C3" s="5">
        <f>SUMIFS(sales!$D:$D,sales!$B:$B,$A3,sales!$C:$C,"&gt;="&amp;DATE(2026,1,1),sales!$C:$C,"&lt;="&amp;DATE(2026,1,31))</f>
        <v>0</v>
      </c>
      <c r="D3" s="5">
        <f>SUMIFS(sales!$D:$D,sales!$B:$B,$A3,sales!$C:$C,"&gt;="&amp;DATE(2026,2,1),sales!$C:$C,"&lt;="&amp;DATE(2026,2,28))</f>
        <v>0</v>
      </c>
      <c r="E3" s="5">
        <f>SUMIFS(sales!$D:$D,sales!$B:$B,$A3,sales!$C:$C,"&gt;="&amp;DATE(2026,3,1),sales!$C:$C,"&lt;="&amp;DATE(2026,3,31))</f>
        <v>0</v>
      </c>
      <c r="F3" s="5">
        <f>SUMIFS(sales!$D:$D,sales!$B:$B,$A3,sales!$C:$C,"&gt;="&amp;DATE(2026,4,1),sales!$C:$C,"&lt;="&amp;DATE(2026,4,30))</f>
        <v>0</v>
      </c>
      <c r="G3" s="5">
        <f>SUMIFS(sales!$D:$D,sales!$B:$B,$A3,sales!$C:$C,"&gt;="&amp;DATE(2026,5,1),sales!$C:$C,"&lt;="&amp;DATE(2026,5,31))</f>
        <v>6</v>
      </c>
      <c r="H3" s="5">
        <f t="shared" si="0"/>
        <v>6</v>
      </c>
    </row>
    <row r="4" spans="1:8" x14ac:dyDescent="0.3">
      <c r="A4" s="2">
        <v>3</v>
      </c>
      <c r="B4" s="2" t="str">
        <f>products!B4</f>
        <v>Bohlam Lampu LED</v>
      </c>
      <c r="C4" s="2">
        <f>SUMIFS(sales!$D:$D,sales!$B:$B,$A4,sales!$C:$C,"&gt;="&amp;DATE(2026,1,1),sales!$C:$C,"&lt;="&amp;DATE(2026,1,31))</f>
        <v>2</v>
      </c>
      <c r="D4" s="2">
        <f>SUMIFS(sales!$D:$D,sales!$B:$B,$A4,sales!$C:$C,"&gt;="&amp;DATE(2026,2,1),sales!$C:$C,"&lt;="&amp;DATE(2026,2,28))</f>
        <v>5</v>
      </c>
      <c r="E4" s="2">
        <f>SUMIFS(sales!$D:$D,sales!$B:$B,$A4,sales!$C:$C,"&gt;="&amp;DATE(2026,3,1),sales!$C:$C,"&lt;="&amp;DATE(2026,3,31))</f>
        <v>1</v>
      </c>
      <c r="F4" s="2">
        <f>SUMIFS(sales!$D:$D,sales!$B:$B,$A4,sales!$C:$C,"&gt;="&amp;DATE(2026,4,1),sales!$C:$C,"&lt;="&amp;DATE(2026,4,30))</f>
        <v>0</v>
      </c>
      <c r="G4" s="2">
        <f>SUMIFS(sales!$D:$D,sales!$B:$B,$A4,sales!$C:$C,"&gt;="&amp;DATE(2026,5,1),sales!$C:$C,"&lt;="&amp;DATE(2026,5,31))</f>
        <v>0</v>
      </c>
      <c r="H4" s="2">
        <f t="shared" si="0"/>
        <v>8</v>
      </c>
    </row>
    <row r="5" spans="1:8" x14ac:dyDescent="0.3">
      <c r="A5" s="5">
        <v>4</v>
      </c>
      <c r="B5" s="5" t="str">
        <f>products!B5</f>
        <v>Parfum Mobil</v>
      </c>
      <c r="C5" s="5">
        <f>SUMIFS(sales!$D:$D,sales!$B:$B,$A5,sales!$C:$C,"&gt;="&amp;DATE(2026,1,1),sales!$C:$C,"&lt;="&amp;DATE(2026,1,31))</f>
        <v>4</v>
      </c>
      <c r="D5" s="5">
        <f>SUMIFS(sales!$D:$D,sales!$B:$B,$A5,sales!$C:$C,"&gt;="&amp;DATE(2026,2,1),sales!$C:$C,"&lt;="&amp;DATE(2026,2,28))</f>
        <v>0</v>
      </c>
      <c r="E5" s="5">
        <f>SUMIFS(sales!$D:$D,sales!$B:$B,$A5,sales!$C:$C,"&gt;="&amp;DATE(2026,3,1),sales!$C:$C,"&lt;="&amp;DATE(2026,3,31))</f>
        <v>1</v>
      </c>
      <c r="F5" s="5">
        <f>SUMIFS(sales!$D:$D,sales!$B:$B,$A5,sales!$C:$C,"&gt;="&amp;DATE(2026,4,1),sales!$C:$C,"&lt;="&amp;DATE(2026,4,30))</f>
        <v>2</v>
      </c>
      <c r="G5" s="5">
        <f>SUMIFS(sales!$D:$D,sales!$B:$B,$A5,sales!$C:$C,"&gt;="&amp;DATE(2026,5,1),sales!$C:$C,"&lt;="&amp;DATE(2026,5,31))</f>
        <v>0</v>
      </c>
      <c r="H5" s="5">
        <f t="shared" si="0"/>
        <v>7</v>
      </c>
    </row>
    <row r="6" spans="1:8" x14ac:dyDescent="0.3">
      <c r="A6" s="2">
        <v>5</v>
      </c>
      <c r="B6" s="2" t="str">
        <f>products!B6</f>
        <v>Minyak Rem</v>
      </c>
      <c r="C6" s="2">
        <f>SUMIFS(sales!$D:$D,sales!$B:$B,$A6,sales!$C:$C,"&gt;="&amp;DATE(2026,1,1),sales!$C:$C,"&lt;="&amp;DATE(2026,1,31))</f>
        <v>0</v>
      </c>
      <c r="D6" s="2">
        <f>SUMIFS(sales!$D:$D,sales!$B:$B,$A6,sales!$C:$C,"&gt;="&amp;DATE(2026,2,1),sales!$C:$C,"&lt;="&amp;DATE(2026,2,28))</f>
        <v>1</v>
      </c>
      <c r="E6" s="2">
        <f>SUMIFS(sales!$D:$D,sales!$B:$B,$A6,sales!$C:$C,"&gt;="&amp;DATE(2026,3,1),sales!$C:$C,"&lt;="&amp;DATE(2026,3,31))</f>
        <v>0</v>
      </c>
      <c r="F6" s="2">
        <f>SUMIFS(sales!$D:$D,sales!$B:$B,$A6,sales!$C:$C,"&gt;="&amp;DATE(2026,4,1),sales!$C:$C,"&lt;="&amp;DATE(2026,4,30))</f>
        <v>0</v>
      </c>
      <c r="G6" s="2">
        <f>SUMIFS(sales!$D:$D,sales!$B:$B,$A6,sales!$C:$C,"&gt;="&amp;DATE(2026,5,1),sales!$C:$C,"&lt;="&amp;DATE(2026,5,31))</f>
        <v>2</v>
      </c>
      <c r="H6" s="2">
        <f t="shared" si="0"/>
        <v>3</v>
      </c>
    </row>
    <row r="7" spans="1:8" x14ac:dyDescent="0.3">
      <c r="A7" s="5">
        <v>6</v>
      </c>
      <c r="B7" s="5" t="str">
        <f>products!B7</f>
        <v>Air Radiator Besar</v>
      </c>
      <c r="C7" s="5">
        <f>SUMIFS(sales!$D:$D,sales!$B:$B,$A7,sales!$C:$C,"&gt;="&amp;DATE(2026,1,1),sales!$C:$C,"&lt;="&amp;DATE(2026,1,31))</f>
        <v>0</v>
      </c>
      <c r="D7" s="5">
        <f>SUMIFS(sales!$D:$D,sales!$B:$B,$A7,sales!$C:$C,"&gt;="&amp;DATE(2026,2,1),sales!$C:$C,"&lt;="&amp;DATE(2026,2,28))</f>
        <v>1</v>
      </c>
      <c r="E7" s="5">
        <f>SUMIFS(sales!$D:$D,sales!$B:$B,$A7,sales!$C:$C,"&gt;="&amp;DATE(2026,3,1),sales!$C:$C,"&lt;="&amp;DATE(2026,3,31))</f>
        <v>0</v>
      </c>
      <c r="F7" s="5">
        <f>SUMIFS(sales!$D:$D,sales!$B:$B,$A7,sales!$C:$C,"&gt;="&amp;DATE(2026,4,1),sales!$C:$C,"&lt;="&amp;DATE(2026,4,30))</f>
        <v>2</v>
      </c>
      <c r="G7" s="5">
        <f>SUMIFS(sales!$D:$D,sales!$B:$B,$A7,sales!$C:$C,"&gt;="&amp;DATE(2026,5,1),sales!$C:$C,"&lt;="&amp;DATE(2026,5,31))</f>
        <v>0</v>
      </c>
      <c r="H7" s="5">
        <f t="shared" si="0"/>
        <v>3</v>
      </c>
    </row>
    <row r="8" spans="1:8" x14ac:dyDescent="0.3">
      <c r="A8" s="2">
        <v>7</v>
      </c>
      <c r="B8" s="2" t="str">
        <f>products!B8</f>
        <v>Air Radiator Kecil</v>
      </c>
      <c r="C8" s="2">
        <f>SUMIFS(sales!$D:$D,sales!$B:$B,$A8,sales!$C:$C,"&gt;="&amp;DATE(2026,1,1),sales!$C:$C,"&lt;="&amp;DATE(2026,1,31))</f>
        <v>0</v>
      </c>
      <c r="D8" s="2">
        <f>SUMIFS(sales!$D:$D,sales!$B:$B,$A8,sales!$C:$C,"&gt;="&amp;DATE(2026,2,1),sales!$C:$C,"&lt;="&amp;DATE(2026,2,28))</f>
        <v>2</v>
      </c>
      <c r="E8" s="2">
        <f>SUMIFS(sales!$D:$D,sales!$B:$B,$A8,sales!$C:$C,"&gt;="&amp;DATE(2026,3,1),sales!$C:$C,"&lt;="&amp;DATE(2026,3,31))</f>
        <v>3</v>
      </c>
      <c r="F8" s="2">
        <f>SUMIFS(sales!$D:$D,sales!$B:$B,$A8,sales!$C:$C,"&gt;="&amp;DATE(2026,4,1),sales!$C:$C,"&lt;="&amp;DATE(2026,4,30))</f>
        <v>0</v>
      </c>
      <c r="G8" s="2">
        <f>SUMIFS(sales!$D:$D,sales!$B:$B,$A8,sales!$C:$C,"&gt;="&amp;DATE(2026,5,1),sales!$C:$C,"&lt;="&amp;DATE(2026,5,31))</f>
        <v>3</v>
      </c>
      <c r="H8" s="2">
        <f t="shared" si="0"/>
        <v>8</v>
      </c>
    </row>
    <row r="9" spans="1:8" x14ac:dyDescent="0.3">
      <c r="A9" s="5">
        <v>8</v>
      </c>
      <c r="B9" s="5" t="str">
        <f>products!B9</f>
        <v>Charger HP Mobil USB</v>
      </c>
      <c r="C9" s="5">
        <f>SUMIFS(sales!$D:$D,sales!$B:$B,$A9,sales!$C:$C,"&gt;="&amp;DATE(2026,1,1),sales!$C:$C,"&lt;="&amp;DATE(2026,1,31))</f>
        <v>0</v>
      </c>
      <c r="D9" s="5">
        <f>SUMIFS(sales!$D:$D,sales!$B:$B,$A9,sales!$C:$C,"&gt;="&amp;DATE(2026,2,1),sales!$C:$C,"&lt;="&amp;DATE(2026,2,28))</f>
        <v>2</v>
      </c>
      <c r="E9" s="5">
        <f>SUMIFS(sales!$D:$D,sales!$B:$B,$A9,sales!$C:$C,"&gt;="&amp;DATE(2026,3,1),sales!$C:$C,"&lt;="&amp;DATE(2026,3,31))</f>
        <v>2</v>
      </c>
      <c r="F9" s="5">
        <f>SUMIFS(sales!$D:$D,sales!$B:$B,$A9,sales!$C:$C,"&gt;="&amp;DATE(2026,4,1),sales!$C:$C,"&lt;="&amp;DATE(2026,4,30))</f>
        <v>0</v>
      </c>
      <c r="G9" s="5">
        <f>SUMIFS(sales!$D:$D,sales!$B:$B,$A9,sales!$C:$C,"&gt;="&amp;DATE(2026,5,1),sales!$C:$C,"&lt;="&amp;DATE(2026,5,31))</f>
        <v>0</v>
      </c>
      <c r="H9" s="5">
        <f t="shared" si="0"/>
        <v>4</v>
      </c>
    </row>
    <row r="10" spans="1:8" x14ac:dyDescent="0.3">
      <c r="A10" s="2">
        <v>9</v>
      </c>
      <c r="B10" s="2" t="str">
        <f>products!B10</f>
        <v>Kaca Film Mobil</v>
      </c>
      <c r="C10" s="2">
        <f>SUMIFS(sales!$D:$D,sales!$B:$B,$A10,sales!$C:$C,"&gt;="&amp;DATE(2026,1,1),sales!$C:$C,"&lt;="&amp;DATE(2026,1,31))</f>
        <v>1</v>
      </c>
      <c r="D10" s="2">
        <f>SUMIFS(sales!$D:$D,sales!$B:$B,$A10,sales!$C:$C,"&gt;="&amp;DATE(2026,2,1),sales!$C:$C,"&lt;="&amp;DATE(2026,2,28))</f>
        <v>0</v>
      </c>
      <c r="E10" s="2">
        <f>SUMIFS(sales!$D:$D,sales!$B:$B,$A10,sales!$C:$C,"&gt;="&amp;DATE(2026,3,1),sales!$C:$C,"&lt;="&amp;DATE(2026,3,31))</f>
        <v>1</v>
      </c>
      <c r="F10" s="2">
        <f>SUMIFS(sales!$D:$D,sales!$B:$B,$A10,sales!$C:$C,"&gt;="&amp;DATE(2026,4,1),sales!$C:$C,"&lt;="&amp;DATE(2026,4,30))</f>
        <v>2</v>
      </c>
      <c r="G10" s="2">
        <f>SUMIFS(sales!$D:$D,sales!$B:$B,$A10,sales!$C:$C,"&gt;="&amp;DATE(2026,5,1),sales!$C:$C,"&lt;="&amp;DATE(2026,5,31))</f>
        <v>0</v>
      </c>
      <c r="H10" s="2">
        <f t="shared" si="0"/>
        <v>4</v>
      </c>
    </row>
    <row r="11" spans="1:8" x14ac:dyDescent="0.3">
      <c r="A11" s="5">
        <v>10</v>
      </c>
      <c r="B11" s="5" t="str">
        <f>products!B11</f>
        <v>Talang Air Mobil</v>
      </c>
      <c r="C11" s="5">
        <f>SUMIFS(sales!$D:$D,sales!$B:$B,$A11,sales!$C:$C,"&gt;="&amp;DATE(2026,1,1),sales!$C:$C,"&lt;="&amp;DATE(2026,1,31))</f>
        <v>0</v>
      </c>
      <c r="D11" s="5">
        <f>SUMIFS(sales!$D:$D,sales!$B:$B,$A11,sales!$C:$C,"&gt;="&amp;DATE(2026,2,1),sales!$C:$C,"&lt;="&amp;DATE(2026,2,28))</f>
        <v>0</v>
      </c>
      <c r="E11" s="5">
        <f>SUMIFS(sales!$D:$D,sales!$B:$B,$A11,sales!$C:$C,"&gt;="&amp;DATE(2026,3,1),sales!$C:$C,"&lt;="&amp;DATE(2026,3,31))</f>
        <v>0</v>
      </c>
      <c r="F11" s="5">
        <f>SUMIFS(sales!$D:$D,sales!$B:$B,$A11,sales!$C:$C,"&gt;="&amp;DATE(2026,4,1),sales!$C:$C,"&lt;="&amp;DATE(2026,4,30))</f>
        <v>0</v>
      </c>
      <c r="G11" s="5">
        <f>SUMIFS(sales!$D:$D,sales!$B:$B,$A11,sales!$C:$C,"&gt;="&amp;DATE(2026,5,1),sales!$C:$C,"&lt;="&amp;DATE(2026,5,31))</f>
        <v>0</v>
      </c>
      <c r="H11" s="5">
        <f t="shared" si="0"/>
        <v>0</v>
      </c>
    </row>
    <row r="12" spans="1:8" x14ac:dyDescent="0.3">
      <c r="A12" s="2">
        <v>11</v>
      </c>
      <c r="B12" s="2" t="str">
        <f>products!B12</f>
        <v>Wiper Standar</v>
      </c>
      <c r="C12" s="2">
        <f>SUMIFS(sales!$D:$D,sales!$B:$B,$A12,sales!$C:$C,"&gt;="&amp;DATE(2026,1,1),sales!$C:$C,"&lt;="&amp;DATE(2026,1,31))</f>
        <v>3</v>
      </c>
      <c r="D12" s="2">
        <f>SUMIFS(sales!$D:$D,sales!$B:$B,$A12,sales!$C:$C,"&gt;="&amp;DATE(2026,2,1),sales!$C:$C,"&lt;="&amp;DATE(2026,2,28))</f>
        <v>0</v>
      </c>
      <c r="E12" s="2">
        <f>SUMIFS(sales!$D:$D,sales!$B:$B,$A12,sales!$C:$C,"&gt;="&amp;DATE(2026,3,1),sales!$C:$C,"&lt;="&amp;DATE(2026,3,31))</f>
        <v>2</v>
      </c>
      <c r="F12" s="2">
        <f>SUMIFS(sales!$D:$D,sales!$B:$B,$A12,sales!$C:$C,"&gt;="&amp;DATE(2026,4,1),sales!$C:$C,"&lt;="&amp;DATE(2026,4,30))</f>
        <v>2</v>
      </c>
      <c r="G12" s="2">
        <f>SUMIFS(sales!$D:$D,sales!$B:$B,$A12,sales!$C:$C,"&gt;="&amp;DATE(2026,5,1),sales!$C:$C,"&lt;="&amp;DATE(2026,5,31))</f>
        <v>2</v>
      </c>
      <c r="H12" s="2">
        <f t="shared" si="0"/>
        <v>9</v>
      </c>
    </row>
    <row r="13" spans="1:8" x14ac:dyDescent="0.3">
      <c r="A13" s="5">
        <v>12</v>
      </c>
      <c r="B13" s="5" t="str">
        <f>products!B13</f>
        <v>Wiper Silicone</v>
      </c>
      <c r="C13" s="5">
        <f>SUMIFS(sales!$D:$D,sales!$B:$B,$A13,sales!$C:$C,"&gt;="&amp;DATE(2026,1,1),sales!$C:$C,"&lt;="&amp;DATE(2026,1,31))</f>
        <v>4</v>
      </c>
      <c r="D13" s="5">
        <f>SUMIFS(sales!$D:$D,sales!$B:$B,$A13,sales!$C:$C,"&gt;="&amp;DATE(2026,2,1),sales!$C:$C,"&lt;="&amp;DATE(2026,2,28))</f>
        <v>0</v>
      </c>
      <c r="E13" s="5">
        <f>SUMIFS(sales!$D:$D,sales!$B:$B,$A13,sales!$C:$C,"&gt;="&amp;DATE(2026,3,1),sales!$C:$C,"&lt;="&amp;DATE(2026,3,31))</f>
        <v>0</v>
      </c>
      <c r="F13" s="5">
        <f>SUMIFS(sales!$D:$D,sales!$B:$B,$A13,sales!$C:$C,"&gt;="&amp;DATE(2026,4,1),sales!$C:$C,"&lt;="&amp;DATE(2026,4,30))</f>
        <v>2</v>
      </c>
      <c r="G13" s="5">
        <f>SUMIFS(sales!$D:$D,sales!$B:$B,$A13,sales!$C:$C,"&gt;="&amp;DATE(2026,5,1),sales!$C:$C,"&lt;="&amp;DATE(2026,5,31))</f>
        <v>0</v>
      </c>
      <c r="H13" s="5">
        <f t="shared" si="0"/>
        <v>6</v>
      </c>
    </row>
    <row r="14" spans="1:8" x14ac:dyDescent="0.3">
      <c r="A14" s="2">
        <v>13</v>
      </c>
      <c r="B14" s="2" t="str">
        <f>products!B14</f>
        <v>Lampu Senja LED</v>
      </c>
      <c r="C14" s="2">
        <f>SUMIFS(sales!$D:$D,sales!$B:$B,$A14,sales!$C:$C,"&gt;="&amp;DATE(2026,1,1),sales!$C:$C,"&lt;="&amp;DATE(2026,1,31))</f>
        <v>0</v>
      </c>
      <c r="D14" s="2">
        <f>SUMIFS(sales!$D:$D,sales!$B:$B,$A14,sales!$C:$C,"&gt;="&amp;DATE(2026,2,1),sales!$C:$C,"&lt;="&amp;DATE(2026,2,28))</f>
        <v>2</v>
      </c>
      <c r="E14" s="2">
        <f>SUMIFS(sales!$D:$D,sales!$B:$B,$A14,sales!$C:$C,"&gt;="&amp;DATE(2026,3,1),sales!$C:$C,"&lt;="&amp;DATE(2026,3,31))</f>
        <v>0</v>
      </c>
      <c r="F14" s="2">
        <f>SUMIFS(sales!$D:$D,sales!$B:$B,$A14,sales!$C:$C,"&gt;="&amp;DATE(2026,4,1),sales!$C:$C,"&lt;="&amp;DATE(2026,4,30))</f>
        <v>5</v>
      </c>
      <c r="G14" s="2">
        <f>SUMIFS(sales!$D:$D,sales!$B:$B,$A14,sales!$C:$C,"&gt;="&amp;DATE(2026,5,1),sales!$C:$C,"&lt;="&amp;DATE(2026,5,31))</f>
        <v>1</v>
      </c>
      <c r="H14" s="2">
        <f t="shared" si="0"/>
        <v>8</v>
      </c>
    </row>
    <row r="15" spans="1:8" x14ac:dyDescent="0.3">
      <c r="A15" s="5">
        <v>14</v>
      </c>
      <c r="B15" s="5" t="str">
        <f>products!B15</f>
        <v>Lampu Plafon LED</v>
      </c>
      <c r="C15" s="5">
        <f>SUMIFS(sales!$D:$D,sales!$B:$B,$A15,sales!$C:$C,"&gt;="&amp;DATE(2026,1,1),sales!$C:$C,"&lt;="&amp;DATE(2026,1,31))</f>
        <v>0</v>
      </c>
      <c r="D15" s="5">
        <f>SUMIFS(sales!$D:$D,sales!$B:$B,$A15,sales!$C:$C,"&gt;="&amp;DATE(2026,2,1),sales!$C:$C,"&lt;="&amp;DATE(2026,2,28))</f>
        <v>0</v>
      </c>
      <c r="E15" s="5">
        <f>SUMIFS(sales!$D:$D,sales!$B:$B,$A15,sales!$C:$C,"&gt;="&amp;DATE(2026,3,1),sales!$C:$C,"&lt;="&amp;DATE(2026,3,31))</f>
        <v>0</v>
      </c>
      <c r="F15" s="5">
        <f>SUMIFS(sales!$D:$D,sales!$B:$B,$A15,sales!$C:$C,"&gt;="&amp;DATE(2026,4,1),sales!$C:$C,"&lt;="&amp;DATE(2026,4,30))</f>
        <v>0</v>
      </c>
      <c r="G15" s="5">
        <f>SUMIFS(sales!$D:$D,sales!$B:$B,$A15,sales!$C:$C,"&gt;="&amp;DATE(2026,5,1),sales!$C:$C,"&lt;="&amp;DATE(2026,5,31))</f>
        <v>0</v>
      </c>
      <c r="H15" s="5">
        <f t="shared" si="0"/>
        <v>0</v>
      </c>
    </row>
    <row r="16" spans="1:8" x14ac:dyDescent="0.3">
      <c r="A16" s="2">
        <v>15</v>
      </c>
      <c r="B16" s="2" t="str">
        <f>products!B16</f>
        <v>Lampu Sein LED</v>
      </c>
      <c r="C16" s="2">
        <f>SUMIFS(sales!$D:$D,sales!$B:$B,$A16,sales!$C:$C,"&gt;="&amp;DATE(2026,1,1),sales!$C:$C,"&lt;="&amp;DATE(2026,1,31))</f>
        <v>3</v>
      </c>
      <c r="D16" s="2">
        <f>SUMIFS(sales!$D:$D,sales!$B:$B,$A16,sales!$C:$C,"&gt;="&amp;DATE(2026,2,1),sales!$C:$C,"&lt;="&amp;DATE(2026,2,28))</f>
        <v>1</v>
      </c>
      <c r="E16" s="2">
        <f>SUMIFS(sales!$D:$D,sales!$B:$B,$A16,sales!$C:$C,"&gt;="&amp;DATE(2026,3,1),sales!$C:$C,"&lt;="&amp;DATE(2026,3,31))</f>
        <v>6</v>
      </c>
      <c r="F16" s="2">
        <f>SUMIFS(sales!$D:$D,sales!$B:$B,$A16,sales!$C:$C,"&gt;="&amp;DATE(2026,4,1),sales!$C:$C,"&lt;="&amp;DATE(2026,4,30))</f>
        <v>3</v>
      </c>
      <c r="G16" s="2">
        <f>SUMIFS(sales!$D:$D,sales!$B:$B,$A16,sales!$C:$C,"&gt;="&amp;DATE(2026,5,1),sales!$C:$C,"&lt;="&amp;DATE(2026,5,31))</f>
        <v>3</v>
      </c>
      <c r="H16" s="2">
        <f t="shared" si="0"/>
        <v>16</v>
      </c>
    </row>
    <row r="17" spans="1:8" x14ac:dyDescent="0.3">
      <c r="A17" s="5">
        <v>16</v>
      </c>
      <c r="B17" s="5" t="str">
        <f>products!B17</f>
        <v>Klakson Mobil</v>
      </c>
      <c r="C17" s="5">
        <f>SUMIFS(sales!$D:$D,sales!$B:$B,$A17,sales!$C:$C,"&gt;="&amp;DATE(2026,1,1),sales!$C:$C,"&lt;="&amp;DATE(2026,1,31))</f>
        <v>0</v>
      </c>
      <c r="D17" s="5">
        <f>SUMIFS(sales!$D:$D,sales!$B:$B,$A17,sales!$C:$C,"&gt;="&amp;DATE(2026,2,1),sales!$C:$C,"&lt;="&amp;DATE(2026,2,28))</f>
        <v>0</v>
      </c>
      <c r="E17" s="5">
        <f>SUMIFS(sales!$D:$D,sales!$B:$B,$A17,sales!$C:$C,"&gt;="&amp;DATE(2026,3,1),sales!$C:$C,"&lt;="&amp;DATE(2026,3,31))</f>
        <v>0</v>
      </c>
      <c r="F17" s="5">
        <f>SUMIFS(sales!$D:$D,sales!$B:$B,$A17,sales!$C:$C,"&gt;="&amp;DATE(2026,4,1),sales!$C:$C,"&lt;="&amp;DATE(2026,4,30))</f>
        <v>1</v>
      </c>
      <c r="G17" s="5">
        <f>SUMIFS(sales!$D:$D,sales!$B:$B,$A17,sales!$C:$C,"&gt;="&amp;DATE(2026,5,1),sales!$C:$C,"&lt;="&amp;DATE(2026,5,31))</f>
        <v>2</v>
      </c>
      <c r="H17" s="5">
        <f t="shared" si="0"/>
        <v>3</v>
      </c>
    </row>
    <row r="18" spans="1:8" x14ac:dyDescent="0.3">
      <c r="A18" s="2">
        <v>17</v>
      </c>
      <c r="B18" s="2" t="str">
        <f>products!B18</f>
        <v>Phone Holder Mobil</v>
      </c>
      <c r="C18" s="2">
        <f>SUMIFS(sales!$D:$D,sales!$B:$B,$A18,sales!$C:$C,"&gt;="&amp;DATE(2026,1,1),sales!$C:$C,"&lt;="&amp;DATE(2026,1,31))</f>
        <v>4</v>
      </c>
      <c r="D18" s="2">
        <f>SUMIFS(sales!$D:$D,sales!$B:$B,$A18,sales!$C:$C,"&gt;="&amp;DATE(2026,2,1),sales!$C:$C,"&lt;="&amp;DATE(2026,2,28))</f>
        <v>0</v>
      </c>
      <c r="E18" s="2">
        <f>SUMIFS(sales!$D:$D,sales!$B:$B,$A18,sales!$C:$C,"&gt;="&amp;DATE(2026,3,1),sales!$C:$C,"&lt;="&amp;DATE(2026,3,31))</f>
        <v>4</v>
      </c>
      <c r="F18" s="2">
        <f>SUMIFS(sales!$D:$D,sales!$B:$B,$A18,sales!$C:$C,"&gt;="&amp;DATE(2026,4,1),sales!$C:$C,"&lt;="&amp;DATE(2026,4,30))</f>
        <v>1</v>
      </c>
      <c r="G18" s="2">
        <f>SUMIFS(sales!$D:$D,sales!$B:$B,$A18,sales!$C:$C,"&gt;="&amp;DATE(2026,5,1),sales!$C:$C,"&lt;="&amp;DATE(2026,5,31))</f>
        <v>2</v>
      </c>
      <c r="H18" s="2">
        <f t="shared" si="0"/>
        <v>11</v>
      </c>
    </row>
    <row r="19" spans="1:8" x14ac:dyDescent="0.3">
      <c r="A19" s="5">
        <v>18</v>
      </c>
      <c r="B19" s="5" t="str">
        <f>products!B19</f>
        <v>USB Fast Charger Mobil</v>
      </c>
      <c r="C19" s="5">
        <f>SUMIFS(sales!$D:$D,sales!$B:$B,$A19,sales!$C:$C,"&gt;="&amp;DATE(2026,1,1),sales!$C:$C,"&lt;="&amp;DATE(2026,1,31))</f>
        <v>0</v>
      </c>
      <c r="D19" s="5">
        <f>SUMIFS(sales!$D:$D,sales!$B:$B,$A19,sales!$C:$C,"&gt;="&amp;DATE(2026,2,1),sales!$C:$C,"&lt;="&amp;DATE(2026,2,28))</f>
        <v>0</v>
      </c>
      <c r="E19" s="5">
        <f>SUMIFS(sales!$D:$D,sales!$B:$B,$A19,sales!$C:$C,"&gt;="&amp;DATE(2026,3,1),sales!$C:$C,"&lt;="&amp;DATE(2026,3,31))</f>
        <v>2</v>
      </c>
      <c r="F19" s="5">
        <f>SUMIFS(sales!$D:$D,sales!$B:$B,$A19,sales!$C:$C,"&gt;="&amp;DATE(2026,4,1),sales!$C:$C,"&lt;="&amp;DATE(2026,4,30))</f>
        <v>0</v>
      </c>
      <c r="G19" s="5">
        <f>SUMIFS(sales!$D:$D,sales!$B:$B,$A19,sales!$C:$C,"&gt;="&amp;DATE(2026,5,1),sales!$C:$C,"&lt;="&amp;DATE(2026,5,31))</f>
        <v>2</v>
      </c>
      <c r="H19" s="5">
        <f t="shared" si="0"/>
        <v>4</v>
      </c>
    </row>
    <row r="20" spans="1:8" x14ac:dyDescent="0.3">
      <c r="A20" s="2">
        <v>19</v>
      </c>
      <c r="B20" s="2" t="str">
        <f>products!B20</f>
        <v>Kamera Mundur</v>
      </c>
      <c r="C20" s="2">
        <f>SUMIFS(sales!$D:$D,sales!$B:$B,$A20,sales!$C:$C,"&gt;="&amp;DATE(2026,1,1),sales!$C:$C,"&lt;="&amp;DATE(2026,1,31))</f>
        <v>0</v>
      </c>
      <c r="D20" s="2">
        <f>SUMIFS(sales!$D:$D,sales!$B:$B,$A20,sales!$C:$C,"&gt;="&amp;DATE(2026,2,1),sales!$C:$C,"&lt;="&amp;DATE(2026,2,28))</f>
        <v>4</v>
      </c>
      <c r="E20" s="2">
        <f>SUMIFS(sales!$D:$D,sales!$B:$B,$A20,sales!$C:$C,"&gt;="&amp;DATE(2026,3,1),sales!$C:$C,"&lt;="&amp;DATE(2026,3,31))</f>
        <v>1</v>
      </c>
      <c r="F20" s="2">
        <f>SUMIFS(sales!$D:$D,sales!$B:$B,$A20,sales!$C:$C,"&gt;="&amp;DATE(2026,4,1),sales!$C:$C,"&lt;="&amp;DATE(2026,4,30))</f>
        <v>0</v>
      </c>
      <c r="G20" s="2">
        <f>SUMIFS(sales!$D:$D,sales!$B:$B,$A20,sales!$C:$C,"&gt;="&amp;DATE(2026,5,1),sales!$C:$C,"&lt;="&amp;DATE(2026,5,31))</f>
        <v>0</v>
      </c>
      <c r="H20" s="2">
        <f t="shared" si="0"/>
        <v>5</v>
      </c>
    </row>
    <row r="21" spans="1:8" x14ac:dyDescent="0.3">
      <c r="A21" s="5">
        <v>20</v>
      </c>
      <c r="B21" s="5" t="str">
        <f>products!B21</f>
        <v>Sensor Parkir</v>
      </c>
      <c r="C21" s="5">
        <f>SUMIFS(sales!$D:$D,sales!$B:$B,$A21,sales!$C:$C,"&gt;="&amp;DATE(2026,1,1),sales!$C:$C,"&lt;="&amp;DATE(2026,1,31))</f>
        <v>0</v>
      </c>
      <c r="D21" s="5">
        <f>SUMIFS(sales!$D:$D,sales!$B:$B,$A21,sales!$C:$C,"&gt;="&amp;DATE(2026,2,1),sales!$C:$C,"&lt;="&amp;DATE(2026,2,28))</f>
        <v>0</v>
      </c>
      <c r="E21" s="5">
        <f>SUMIFS(sales!$D:$D,sales!$B:$B,$A21,sales!$C:$C,"&gt;="&amp;DATE(2026,3,1),sales!$C:$C,"&lt;="&amp;DATE(2026,3,31))</f>
        <v>0</v>
      </c>
      <c r="F21" s="5">
        <f>SUMIFS(sales!$D:$D,sales!$B:$B,$A21,sales!$C:$C,"&gt;="&amp;DATE(2026,4,1),sales!$C:$C,"&lt;="&amp;DATE(2026,4,30))</f>
        <v>1</v>
      </c>
      <c r="G21" s="5">
        <f>SUMIFS(sales!$D:$D,sales!$B:$B,$A21,sales!$C:$C,"&gt;="&amp;DATE(2026,5,1),sales!$C:$C,"&lt;="&amp;DATE(2026,5,31))</f>
        <v>0</v>
      </c>
      <c r="H21" s="5">
        <f t="shared" si="0"/>
        <v>1</v>
      </c>
    </row>
    <row r="22" spans="1:8" x14ac:dyDescent="0.3">
      <c r="A22" s="2">
        <v>21</v>
      </c>
      <c r="B22" s="2" t="str">
        <f>products!B22</f>
        <v>Karpet Mobil Universal</v>
      </c>
      <c r="C22" s="2">
        <f>SUMIFS(sales!$D:$D,sales!$B:$B,$A22,sales!$C:$C,"&gt;="&amp;DATE(2026,1,1),sales!$C:$C,"&lt;="&amp;DATE(2026,1,31))</f>
        <v>3</v>
      </c>
      <c r="D22" s="2">
        <f>SUMIFS(sales!$D:$D,sales!$B:$B,$A22,sales!$C:$C,"&gt;="&amp;DATE(2026,2,1),sales!$C:$C,"&lt;="&amp;DATE(2026,2,28))</f>
        <v>0</v>
      </c>
      <c r="E22" s="2">
        <f>SUMIFS(sales!$D:$D,sales!$B:$B,$A22,sales!$C:$C,"&gt;="&amp;DATE(2026,3,1),sales!$C:$C,"&lt;="&amp;DATE(2026,3,31))</f>
        <v>1</v>
      </c>
      <c r="F22" s="2">
        <f>SUMIFS(sales!$D:$D,sales!$B:$B,$A22,sales!$C:$C,"&gt;="&amp;DATE(2026,4,1),sales!$C:$C,"&lt;="&amp;DATE(2026,4,30))</f>
        <v>1</v>
      </c>
      <c r="G22" s="2">
        <f>SUMIFS(sales!$D:$D,sales!$B:$B,$A22,sales!$C:$C,"&gt;="&amp;DATE(2026,5,1),sales!$C:$C,"&lt;="&amp;DATE(2026,5,31))</f>
        <v>2</v>
      </c>
      <c r="H22" s="2">
        <f t="shared" si="0"/>
        <v>7</v>
      </c>
    </row>
    <row r="23" spans="1:8" x14ac:dyDescent="0.3">
      <c r="A23" s="5">
        <v>22</v>
      </c>
      <c r="B23" s="5" t="str">
        <f>products!B23</f>
        <v>Cover Jok Mobil</v>
      </c>
      <c r="C23" s="5">
        <f>SUMIFS(sales!$D:$D,sales!$B:$B,$A23,sales!$C:$C,"&gt;="&amp;DATE(2026,1,1),sales!$C:$C,"&lt;="&amp;DATE(2026,1,31))</f>
        <v>0</v>
      </c>
      <c r="D23" s="5">
        <f>SUMIFS(sales!$D:$D,sales!$B:$B,$A23,sales!$C:$C,"&gt;="&amp;DATE(2026,2,1),sales!$C:$C,"&lt;="&amp;DATE(2026,2,28))</f>
        <v>0</v>
      </c>
      <c r="E23" s="5">
        <f>SUMIFS(sales!$D:$D,sales!$B:$B,$A23,sales!$C:$C,"&gt;="&amp;DATE(2026,3,1),sales!$C:$C,"&lt;="&amp;DATE(2026,3,31))</f>
        <v>0</v>
      </c>
      <c r="F23" s="5">
        <f>SUMIFS(sales!$D:$D,sales!$B:$B,$A23,sales!$C:$C,"&gt;="&amp;DATE(2026,4,1),sales!$C:$C,"&lt;="&amp;DATE(2026,4,30))</f>
        <v>0</v>
      </c>
      <c r="G23" s="5">
        <f>SUMIFS(sales!$D:$D,sales!$B:$B,$A23,sales!$C:$C,"&gt;="&amp;DATE(2026,5,1),sales!$C:$C,"&lt;="&amp;DATE(2026,5,31))</f>
        <v>0</v>
      </c>
      <c r="H23" s="5">
        <f t="shared" si="0"/>
        <v>0</v>
      </c>
    </row>
    <row r="24" spans="1:8" x14ac:dyDescent="0.3">
      <c r="A24" s="2">
        <v>23</v>
      </c>
      <c r="B24" s="2" t="str">
        <f>products!B24</f>
        <v>Sarung Stir Mobil</v>
      </c>
      <c r="C24" s="2">
        <f>SUMIFS(sales!$D:$D,sales!$B:$B,$A24,sales!$C:$C,"&gt;="&amp;DATE(2026,1,1),sales!$C:$C,"&lt;="&amp;DATE(2026,1,31))</f>
        <v>1</v>
      </c>
      <c r="D24" s="2">
        <f>SUMIFS(sales!$D:$D,sales!$B:$B,$A24,sales!$C:$C,"&gt;="&amp;DATE(2026,2,1),sales!$C:$C,"&lt;="&amp;DATE(2026,2,28))</f>
        <v>1</v>
      </c>
      <c r="E24" s="2">
        <f>SUMIFS(sales!$D:$D,sales!$B:$B,$A24,sales!$C:$C,"&gt;="&amp;DATE(2026,3,1),sales!$C:$C,"&lt;="&amp;DATE(2026,3,31))</f>
        <v>2</v>
      </c>
      <c r="F24" s="2">
        <f>SUMIFS(sales!$D:$D,sales!$B:$B,$A24,sales!$C:$C,"&gt;="&amp;DATE(2026,4,1),sales!$C:$C,"&lt;="&amp;DATE(2026,4,30))</f>
        <v>0</v>
      </c>
      <c r="G24" s="2">
        <f>SUMIFS(sales!$D:$D,sales!$B:$B,$A24,sales!$C:$C,"&gt;="&amp;DATE(2026,5,1),sales!$C:$C,"&lt;="&amp;DATE(2026,5,31))</f>
        <v>0</v>
      </c>
      <c r="H24" s="2">
        <f t="shared" si="0"/>
        <v>4</v>
      </c>
    </row>
    <row r="25" spans="1:8" x14ac:dyDescent="0.3">
      <c r="A25" s="5">
        <v>24</v>
      </c>
      <c r="B25" s="5" t="str">
        <f>products!B25</f>
        <v>Cover Seat Belt</v>
      </c>
      <c r="C25" s="5">
        <f>SUMIFS(sales!$D:$D,sales!$B:$B,$A25,sales!$C:$C,"&gt;="&amp;DATE(2026,1,1),sales!$C:$C,"&lt;="&amp;DATE(2026,1,31))</f>
        <v>1</v>
      </c>
      <c r="D25" s="5">
        <f>SUMIFS(sales!$D:$D,sales!$B:$B,$A25,sales!$C:$C,"&gt;="&amp;DATE(2026,2,1),sales!$C:$C,"&lt;="&amp;DATE(2026,2,28))</f>
        <v>3</v>
      </c>
      <c r="E25" s="5">
        <f>SUMIFS(sales!$D:$D,sales!$B:$B,$A25,sales!$C:$C,"&gt;="&amp;DATE(2026,3,1),sales!$C:$C,"&lt;="&amp;DATE(2026,3,31))</f>
        <v>1</v>
      </c>
      <c r="F25" s="5">
        <f>SUMIFS(sales!$D:$D,sales!$B:$B,$A25,sales!$C:$C,"&gt;="&amp;DATE(2026,4,1),sales!$C:$C,"&lt;="&amp;DATE(2026,4,30))</f>
        <v>5</v>
      </c>
      <c r="G25" s="5">
        <f>SUMIFS(sales!$D:$D,sales!$B:$B,$A25,sales!$C:$C,"&gt;="&amp;DATE(2026,5,1),sales!$C:$C,"&lt;="&amp;DATE(2026,5,31))</f>
        <v>2</v>
      </c>
      <c r="H25" s="5">
        <f t="shared" si="0"/>
        <v>12</v>
      </c>
    </row>
    <row r="26" spans="1:8" x14ac:dyDescent="0.3">
      <c r="A26" s="2">
        <v>25</v>
      </c>
      <c r="B26" s="2" t="str">
        <f>products!B26</f>
        <v>Stiker Kaca Mobil</v>
      </c>
      <c r="C26" s="2">
        <f>SUMIFS(sales!$D:$D,sales!$B:$B,$A26,sales!$C:$C,"&gt;="&amp;DATE(2026,1,1),sales!$C:$C,"&lt;="&amp;DATE(2026,1,31))</f>
        <v>0</v>
      </c>
      <c r="D26" s="2">
        <f>SUMIFS(sales!$D:$D,sales!$B:$B,$A26,sales!$C:$C,"&gt;="&amp;DATE(2026,2,1),sales!$C:$C,"&lt;="&amp;DATE(2026,2,28))</f>
        <v>1</v>
      </c>
      <c r="E26" s="2">
        <f>SUMIFS(sales!$D:$D,sales!$B:$B,$A26,sales!$C:$C,"&gt;="&amp;DATE(2026,3,1),sales!$C:$C,"&lt;="&amp;DATE(2026,3,31))</f>
        <v>2</v>
      </c>
      <c r="F26" s="2">
        <f>SUMIFS(sales!$D:$D,sales!$B:$B,$A26,sales!$C:$C,"&gt;="&amp;DATE(2026,4,1),sales!$C:$C,"&lt;="&amp;DATE(2026,4,30))</f>
        <v>2</v>
      </c>
      <c r="G26" s="2">
        <f>SUMIFS(sales!$D:$D,sales!$B:$B,$A26,sales!$C:$C,"&gt;="&amp;DATE(2026,5,1),sales!$C:$C,"&lt;="&amp;DATE(2026,5,31))</f>
        <v>3</v>
      </c>
      <c r="H26" s="2">
        <f t="shared" si="0"/>
        <v>8</v>
      </c>
    </row>
  </sheetData>
  <autoFilter ref="A1:H2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6" customWidth="1"/>
    <col min="2" max="2" width="24" customWidth="1"/>
    <col min="3" max="7" width="9" customWidth="1"/>
    <col min="8" max="9" width="7" customWidth="1"/>
    <col min="10" max="13" width="9" customWidth="1"/>
    <col min="14" max="14" width="12" customWidth="1"/>
    <col min="15" max="16" width="10" customWidth="1"/>
    <col min="17" max="18" width="9" customWidth="1"/>
    <col min="19" max="20" width="10" customWidth="1"/>
    <col min="21" max="21" width="26" customWidth="1"/>
  </cols>
  <sheetData>
    <row r="1" spans="1:21" ht="39.6" x14ac:dyDescent="0.3">
      <c r="A1" s="1" t="s">
        <v>103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62</v>
      </c>
      <c r="U1" s="1" t="s">
        <v>121</v>
      </c>
    </row>
    <row r="2" spans="1:21" x14ac:dyDescent="0.3">
      <c r="A2" s="2">
        <v>1</v>
      </c>
      <c r="B2" s="2" t="str">
        <f>products!B2</f>
        <v>Central Lock Universal</v>
      </c>
      <c r="C2" s="2">
        <f>Rekap_Penjualan_Bulanan!C2</f>
        <v>7</v>
      </c>
      <c r="D2" s="2">
        <f>Rekap_Penjualan_Bulanan!D2</f>
        <v>0</v>
      </c>
      <c r="E2" s="2">
        <f>Rekap_Penjualan_Bulanan!E2</f>
        <v>3</v>
      </c>
      <c r="F2" s="2">
        <f>Rekap_Penjualan_Bulanan!F2</f>
        <v>0</v>
      </c>
      <c r="G2" s="2">
        <f>Rekap_Penjualan_Bulanan!G2</f>
        <v>0</v>
      </c>
      <c r="H2" s="2">
        <f t="shared" ref="H2:H26" si="0">1+2+3+4+5</f>
        <v>15</v>
      </c>
      <c r="I2" s="2">
        <f t="shared" ref="I2:I26" si="1">SUM(C2:G2)</f>
        <v>10</v>
      </c>
      <c r="J2" s="2">
        <f>SUMPRODUCT({1,2,3,4,5},C2:G2)</f>
        <v>16</v>
      </c>
      <c r="K2" s="2">
        <f t="shared" ref="K2:K26" si="2">1^2+2^2+3^2+4^2+5^2</f>
        <v>55</v>
      </c>
      <c r="L2" s="10">
        <f>SLOPE(C2:G2,{1,2,3,4,5})</f>
        <v>-1.4</v>
      </c>
      <c r="M2" s="10">
        <f>INTERCEPT(C2:G2,{1,2,3,4,5})</f>
        <v>6.1999999999999993</v>
      </c>
      <c r="N2" s="10">
        <f t="shared" ref="N2:N26" si="3">M2+L2*6</f>
        <v>-2.1999999999999993</v>
      </c>
      <c r="O2" s="10">
        <f t="shared" ref="O2:O26" si="4">ROUND(N2/30,2)</f>
        <v>-7.0000000000000007E-2</v>
      </c>
      <c r="P2" s="2">
        <f>VLOOKUP(products!I2,Supplier!$A:$E,5,0)</f>
        <v>3</v>
      </c>
      <c r="Q2" s="2">
        <f t="shared" ref="Q2:Q26" si="5">MAX(1,ROUNDUP(O2*P2*0.5,0))</f>
        <v>1</v>
      </c>
      <c r="R2" s="2">
        <f t="shared" ref="R2:R26" si="6">ROUNDUP(O2*P2+Q2,0)</f>
        <v>1</v>
      </c>
      <c r="S2" s="2">
        <f>products!H2</f>
        <v>5</v>
      </c>
      <c r="T2" s="2" t="str">
        <f t="shared" ref="T2:T26" si="7">IF(S2&lt;=Q2,"Kritis",IF(S2&lt;=R2,"Menipis","Aman"))</f>
        <v>Aman</v>
      </c>
      <c r="U2" s="2" t="str">
        <f>VLOOKUP(products!I2,Supplier!$A:$B,2,0)</f>
        <v>Grosir Variasi Mobil</v>
      </c>
    </row>
    <row r="3" spans="1:21" x14ac:dyDescent="0.3">
      <c r="A3" s="5">
        <v>2</v>
      </c>
      <c r="B3" s="5" t="str">
        <f>products!B3</f>
        <v>Tempat Plat Nomor Akrilik</v>
      </c>
      <c r="C3" s="5">
        <f>Rekap_Penjualan_Bulanan!C3</f>
        <v>0</v>
      </c>
      <c r="D3" s="5">
        <f>Rekap_Penjualan_Bulanan!D3</f>
        <v>0</v>
      </c>
      <c r="E3" s="5">
        <f>Rekap_Penjualan_Bulanan!E3</f>
        <v>0</v>
      </c>
      <c r="F3" s="5">
        <f>Rekap_Penjualan_Bulanan!F3</f>
        <v>0</v>
      </c>
      <c r="G3" s="5">
        <f>Rekap_Penjualan_Bulanan!G3</f>
        <v>6</v>
      </c>
      <c r="H3" s="5">
        <f t="shared" si="0"/>
        <v>15</v>
      </c>
      <c r="I3" s="5">
        <f t="shared" si="1"/>
        <v>6</v>
      </c>
      <c r="J3" s="5">
        <f>SUMPRODUCT({1,2,3,4,5},C3:G3)</f>
        <v>30</v>
      </c>
      <c r="K3" s="5">
        <f t="shared" si="2"/>
        <v>55</v>
      </c>
      <c r="L3" s="11">
        <f>SLOPE(C3:G3,{1,2,3,4,5})</f>
        <v>1.2</v>
      </c>
      <c r="M3" s="11">
        <f>INTERCEPT(C3:G3,{1,2,3,4,5})</f>
        <v>-2.3999999999999995</v>
      </c>
      <c r="N3" s="11">
        <f t="shared" si="3"/>
        <v>4.8</v>
      </c>
      <c r="O3" s="11">
        <f t="shared" si="4"/>
        <v>0.16</v>
      </c>
      <c r="P3" s="5">
        <f>VLOOKUP(products!I3,Supplier!$A:$E,5,0)</f>
        <v>2</v>
      </c>
      <c r="Q3" s="5">
        <f t="shared" si="5"/>
        <v>1</v>
      </c>
      <c r="R3" s="5">
        <f t="shared" si="6"/>
        <v>2</v>
      </c>
      <c r="S3" s="5">
        <f>products!H3</f>
        <v>7</v>
      </c>
      <c r="T3" s="5" t="str">
        <f t="shared" si="7"/>
        <v>Aman</v>
      </c>
      <c r="U3" s="5" t="str">
        <f>VLOOKUP(products!I3,Supplier!$A:$B,2,0)</f>
        <v>Toko Sinar Jaya Variasi Mobil</v>
      </c>
    </row>
    <row r="4" spans="1:21" x14ac:dyDescent="0.3">
      <c r="A4" s="2">
        <v>3</v>
      </c>
      <c r="B4" s="2" t="str">
        <f>products!B4</f>
        <v>Bohlam Lampu LED</v>
      </c>
      <c r="C4" s="2">
        <f>Rekap_Penjualan_Bulanan!C4</f>
        <v>2</v>
      </c>
      <c r="D4" s="2">
        <f>Rekap_Penjualan_Bulanan!D4</f>
        <v>5</v>
      </c>
      <c r="E4" s="2">
        <f>Rekap_Penjualan_Bulanan!E4</f>
        <v>1</v>
      </c>
      <c r="F4" s="2">
        <f>Rekap_Penjualan_Bulanan!F4</f>
        <v>0</v>
      </c>
      <c r="G4" s="2">
        <f>Rekap_Penjualan_Bulanan!G4</f>
        <v>0</v>
      </c>
      <c r="H4" s="2">
        <f t="shared" si="0"/>
        <v>15</v>
      </c>
      <c r="I4" s="2">
        <f t="shared" si="1"/>
        <v>8</v>
      </c>
      <c r="J4" s="2">
        <f>SUMPRODUCT({1,2,3,4,5},C4:G4)</f>
        <v>15</v>
      </c>
      <c r="K4" s="2">
        <f t="shared" si="2"/>
        <v>55</v>
      </c>
      <c r="L4" s="10">
        <f>SLOPE(C4:G4,{1,2,3,4,5})</f>
        <v>-0.9</v>
      </c>
      <c r="M4" s="10">
        <f>INTERCEPT(C4:G4,{1,2,3,4,5})</f>
        <v>4.3000000000000007</v>
      </c>
      <c r="N4" s="10">
        <f t="shared" si="3"/>
        <v>-1.0999999999999996</v>
      </c>
      <c r="O4" s="10">
        <f t="shared" si="4"/>
        <v>-0.04</v>
      </c>
      <c r="P4" s="2">
        <f>VLOOKUP(products!I4,Supplier!$A:$E,5,0)</f>
        <v>4</v>
      </c>
      <c r="Q4" s="2">
        <f t="shared" si="5"/>
        <v>1</v>
      </c>
      <c r="R4" s="2">
        <f t="shared" si="6"/>
        <v>1</v>
      </c>
      <c r="S4" s="2">
        <f>products!H4</f>
        <v>9</v>
      </c>
      <c r="T4" s="2" t="str">
        <f t="shared" si="7"/>
        <v>Aman</v>
      </c>
      <c r="U4" s="2" t="str">
        <f>VLOOKUP(products!I4,Supplier!$A:$B,2,0)</f>
        <v>Istana Stadion Variasi Mobil</v>
      </c>
    </row>
    <row r="5" spans="1:21" x14ac:dyDescent="0.3">
      <c r="A5" s="5">
        <v>4</v>
      </c>
      <c r="B5" s="5" t="str">
        <f>products!B5</f>
        <v>Parfum Mobil</v>
      </c>
      <c r="C5" s="5">
        <f>Rekap_Penjualan_Bulanan!C5</f>
        <v>4</v>
      </c>
      <c r="D5" s="5">
        <f>Rekap_Penjualan_Bulanan!D5</f>
        <v>0</v>
      </c>
      <c r="E5" s="5">
        <f>Rekap_Penjualan_Bulanan!E5</f>
        <v>1</v>
      </c>
      <c r="F5" s="5">
        <f>Rekap_Penjualan_Bulanan!F5</f>
        <v>2</v>
      </c>
      <c r="G5" s="5">
        <f>Rekap_Penjualan_Bulanan!G5</f>
        <v>0</v>
      </c>
      <c r="H5" s="5">
        <f t="shared" si="0"/>
        <v>15</v>
      </c>
      <c r="I5" s="5">
        <f t="shared" si="1"/>
        <v>7</v>
      </c>
      <c r="J5" s="5">
        <f>SUMPRODUCT({1,2,3,4,5},C5:G5)</f>
        <v>15</v>
      </c>
      <c r="K5" s="5">
        <f t="shared" si="2"/>
        <v>55</v>
      </c>
      <c r="L5" s="11">
        <f>SLOPE(C5:G5,{1,2,3,4,5})</f>
        <v>-0.6</v>
      </c>
      <c r="M5" s="11">
        <f>INTERCEPT(C5:G5,{1,2,3,4,5})</f>
        <v>3.1999999999999997</v>
      </c>
      <c r="N5" s="11">
        <f t="shared" si="3"/>
        <v>-0.39999999999999991</v>
      </c>
      <c r="O5" s="11">
        <f t="shared" si="4"/>
        <v>-0.01</v>
      </c>
      <c r="P5" s="5">
        <f>VLOOKUP(products!I5,Supplier!$A:$E,5,0)</f>
        <v>3</v>
      </c>
      <c r="Q5" s="5">
        <f t="shared" si="5"/>
        <v>1</v>
      </c>
      <c r="R5" s="5">
        <f t="shared" si="6"/>
        <v>1</v>
      </c>
      <c r="S5" s="5">
        <f>products!H5</f>
        <v>9</v>
      </c>
      <c r="T5" s="5" t="str">
        <f t="shared" si="7"/>
        <v>Aman</v>
      </c>
      <c r="U5" s="5" t="str">
        <f>VLOOKUP(products!I5,Supplier!$A:$B,2,0)</f>
        <v>Ristana Variasi Sompok</v>
      </c>
    </row>
    <row r="6" spans="1:21" x14ac:dyDescent="0.3">
      <c r="A6" s="2">
        <v>5</v>
      </c>
      <c r="B6" s="2" t="str">
        <f>products!B6</f>
        <v>Minyak Rem</v>
      </c>
      <c r="C6" s="2">
        <f>Rekap_Penjualan_Bulanan!C6</f>
        <v>0</v>
      </c>
      <c r="D6" s="2">
        <f>Rekap_Penjualan_Bulanan!D6</f>
        <v>1</v>
      </c>
      <c r="E6" s="2">
        <f>Rekap_Penjualan_Bulanan!E6</f>
        <v>0</v>
      </c>
      <c r="F6" s="2">
        <f>Rekap_Penjualan_Bulanan!F6</f>
        <v>0</v>
      </c>
      <c r="G6" s="2">
        <f>Rekap_Penjualan_Bulanan!G6</f>
        <v>2</v>
      </c>
      <c r="H6" s="2">
        <f t="shared" si="0"/>
        <v>15</v>
      </c>
      <c r="I6" s="2">
        <f t="shared" si="1"/>
        <v>3</v>
      </c>
      <c r="J6" s="2">
        <f>SUMPRODUCT({1,2,3,4,5},C6:G6)</f>
        <v>12</v>
      </c>
      <c r="K6" s="2">
        <f t="shared" si="2"/>
        <v>55</v>
      </c>
      <c r="L6" s="10">
        <f>SLOPE(C6:G6,{1,2,3,4,5})</f>
        <v>0.3</v>
      </c>
      <c r="M6" s="10">
        <f>INTERCEPT(C6:G6,{1,2,3,4,5})</f>
        <v>-0.29999999999999993</v>
      </c>
      <c r="N6" s="10">
        <f t="shared" si="3"/>
        <v>1.5</v>
      </c>
      <c r="O6" s="10">
        <f t="shared" si="4"/>
        <v>0.05</v>
      </c>
      <c r="P6" s="2">
        <f>VLOOKUP(products!I6,Supplier!$A:$E,5,0)</f>
        <v>5</v>
      </c>
      <c r="Q6" s="2">
        <f t="shared" si="5"/>
        <v>1</v>
      </c>
      <c r="R6" s="2">
        <f t="shared" si="6"/>
        <v>2</v>
      </c>
      <c r="S6" s="2">
        <f>products!H6</f>
        <v>3</v>
      </c>
      <c r="T6" s="2" t="str">
        <f t="shared" si="7"/>
        <v>Aman</v>
      </c>
      <c r="U6" s="2" t="str">
        <f>VLOOKUP(products!I6,Supplier!$A:$B,2,0)</f>
        <v>FAA Variasi</v>
      </c>
    </row>
    <row r="7" spans="1:21" x14ac:dyDescent="0.3">
      <c r="A7" s="5">
        <v>6</v>
      </c>
      <c r="B7" s="5" t="str">
        <f>products!B7</f>
        <v>Air Radiator Besar</v>
      </c>
      <c r="C7" s="5">
        <f>Rekap_Penjualan_Bulanan!C7</f>
        <v>0</v>
      </c>
      <c r="D7" s="5">
        <f>Rekap_Penjualan_Bulanan!D7</f>
        <v>1</v>
      </c>
      <c r="E7" s="5">
        <f>Rekap_Penjualan_Bulanan!E7</f>
        <v>0</v>
      </c>
      <c r="F7" s="5">
        <f>Rekap_Penjualan_Bulanan!F7</f>
        <v>2</v>
      </c>
      <c r="G7" s="5">
        <f>Rekap_Penjualan_Bulanan!G7</f>
        <v>0</v>
      </c>
      <c r="H7" s="5">
        <f t="shared" si="0"/>
        <v>15</v>
      </c>
      <c r="I7" s="5">
        <f t="shared" si="1"/>
        <v>3</v>
      </c>
      <c r="J7" s="5">
        <f>SUMPRODUCT({1,2,3,4,5},C7:G7)</f>
        <v>10</v>
      </c>
      <c r="K7" s="5">
        <f t="shared" si="2"/>
        <v>55</v>
      </c>
      <c r="L7" s="11">
        <f>SLOPE(C7:G7,{1,2,3,4,5})</f>
        <v>9.9999999999999978E-2</v>
      </c>
      <c r="M7" s="11">
        <f>INTERCEPT(C7:G7,{1,2,3,4,5})</f>
        <v>0.30000000000000004</v>
      </c>
      <c r="N7" s="11">
        <f t="shared" si="3"/>
        <v>0.89999999999999991</v>
      </c>
      <c r="O7" s="11">
        <f t="shared" si="4"/>
        <v>0.03</v>
      </c>
      <c r="P7" s="5">
        <f>VLOOKUP(products!I7,Supplier!$A:$E,5,0)</f>
        <v>7</v>
      </c>
      <c r="Q7" s="5">
        <f t="shared" si="5"/>
        <v>1</v>
      </c>
      <c r="R7" s="5">
        <f t="shared" si="6"/>
        <v>2</v>
      </c>
      <c r="S7" s="5">
        <f>products!H7</f>
        <v>4</v>
      </c>
      <c r="T7" s="5" t="str">
        <f t="shared" si="7"/>
        <v>Aman</v>
      </c>
      <c r="U7" s="5" t="str">
        <f>VLOOKUP(products!I7,Supplier!$A:$B,2,0)</f>
        <v>JA Auto Bodykit</v>
      </c>
    </row>
    <row r="8" spans="1:21" x14ac:dyDescent="0.3">
      <c r="A8" s="2">
        <v>7</v>
      </c>
      <c r="B8" s="2" t="str">
        <f>products!B8</f>
        <v>Air Radiator Kecil</v>
      </c>
      <c r="C8" s="2">
        <f>Rekap_Penjualan_Bulanan!C8</f>
        <v>0</v>
      </c>
      <c r="D8" s="2">
        <f>Rekap_Penjualan_Bulanan!D8</f>
        <v>2</v>
      </c>
      <c r="E8" s="2">
        <f>Rekap_Penjualan_Bulanan!E8</f>
        <v>3</v>
      </c>
      <c r="F8" s="2">
        <f>Rekap_Penjualan_Bulanan!F8</f>
        <v>0</v>
      </c>
      <c r="G8" s="2">
        <f>Rekap_Penjualan_Bulanan!G8</f>
        <v>3</v>
      </c>
      <c r="H8" s="2">
        <f t="shared" si="0"/>
        <v>15</v>
      </c>
      <c r="I8" s="2">
        <f t="shared" si="1"/>
        <v>8</v>
      </c>
      <c r="J8" s="2">
        <f>SUMPRODUCT({1,2,3,4,5},C8:G8)</f>
        <v>28</v>
      </c>
      <c r="K8" s="2">
        <f t="shared" si="2"/>
        <v>55</v>
      </c>
      <c r="L8" s="10">
        <f>SLOPE(C8:G8,{1,2,3,4,5})</f>
        <v>0.4</v>
      </c>
      <c r="M8" s="10">
        <f>INTERCEPT(C8:G8,{1,2,3,4,5})</f>
        <v>0.39999999999999991</v>
      </c>
      <c r="N8" s="10">
        <f t="shared" si="3"/>
        <v>2.8000000000000003</v>
      </c>
      <c r="O8" s="10">
        <f t="shared" si="4"/>
        <v>0.09</v>
      </c>
      <c r="P8" s="2">
        <f>VLOOKUP(products!I8,Supplier!$A:$E,5,0)</f>
        <v>5</v>
      </c>
      <c r="Q8" s="2">
        <f t="shared" si="5"/>
        <v>1</v>
      </c>
      <c r="R8" s="2">
        <f t="shared" si="6"/>
        <v>2</v>
      </c>
      <c r="S8" s="2">
        <f>products!H8</f>
        <v>7</v>
      </c>
      <c r="T8" s="2" t="str">
        <f t="shared" si="7"/>
        <v>Aman</v>
      </c>
      <c r="U8" s="2" t="str">
        <f>VLOOKUP(products!I8,Supplier!$A:$B,2,0)</f>
        <v>UD Enggal Jaya</v>
      </c>
    </row>
    <row r="9" spans="1:21" x14ac:dyDescent="0.3">
      <c r="A9" s="5">
        <v>8</v>
      </c>
      <c r="B9" s="5" t="str">
        <f>products!B9</f>
        <v>Charger HP Mobil USB</v>
      </c>
      <c r="C9" s="5">
        <f>Rekap_Penjualan_Bulanan!C9</f>
        <v>0</v>
      </c>
      <c r="D9" s="5">
        <f>Rekap_Penjualan_Bulanan!D9</f>
        <v>2</v>
      </c>
      <c r="E9" s="5">
        <f>Rekap_Penjualan_Bulanan!E9</f>
        <v>2</v>
      </c>
      <c r="F9" s="5">
        <f>Rekap_Penjualan_Bulanan!F9</f>
        <v>0</v>
      </c>
      <c r="G9" s="5">
        <f>Rekap_Penjualan_Bulanan!G9</f>
        <v>0</v>
      </c>
      <c r="H9" s="5">
        <f t="shared" si="0"/>
        <v>15</v>
      </c>
      <c r="I9" s="5">
        <f t="shared" si="1"/>
        <v>4</v>
      </c>
      <c r="J9" s="5">
        <f>SUMPRODUCT({1,2,3,4,5},C9:G9)</f>
        <v>10</v>
      </c>
      <c r="K9" s="5">
        <f t="shared" si="2"/>
        <v>55</v>
      </c>
      <c r="L9" s="11">
        <f>SLOPE(C9:G9,{1,2,3,4,5})</f>
        <v>-0.2</v>
      </c>
      <c r="M9" s="11">
        <f>INTERCEPT(C9:G9,{1,2,3,4,5})</f>
        <v>1.4000000000000001</v>
      </c>
      <c r="N9" s="11">
        <f t="shared" si="3"/>
        <v>0.19999999999999996</v>
      </c>
      <c r="O9" s="11">
        <f t="shared" si="4"/>
        <v>0.01</v>
      </c>
      <c r="P9" s="5">
        <f>VLOOKUP(products!I9,Supplier!$A:$E,5,0)</f>
        <v>4</v>
      </c>
      <c r="Q9" s="5">
        <f t="shared" si="5"/>
        <v>1</v>
      </c>
      <c r="R9" s="5">
        <f t="shared" si="6"/>
        <v>2</v>
      </c>
      <c r="S9" s="5">
        <f>products!H9</f>
        <v>3</v>
      </c>
      <c r="T9" s="5" t="str">
        <f t="shared" si="7"/>
        <v>Aman</v>
      </c>
      <c r="U9" s="5" t="str">
        <f>VLOOKUP(products!I9,Supplier!$A:$B,2,0)</f>
        <v>D2 Audio Variasi</v>
      </c>
    </row>
    <row r="10" spans="1:21" x14ac:dyDescent="0.3">
      <c r="A10" s="2">
        <v>9</v>
      </c>
      <c r="B10" s="2" t="str">
        <f>products!B10</f>
        <v>Kaca Film Mobil</v>
      </c>
      <c r="C10" s="2">
        <f>Rekap_Penjualan_Bulanan!C10</f>
        <v>1</v>
      </c>
      <c r="D10" s="2">
        <f>Rekap_Penjualan_Bulanan!D10</f>
        <v>0</v>
      </c>
      <c r="E10" s="2">
        <f>Rekap_Penjualan_Bulanan!E10</f>
        <v>1</v>
      </c>
      <c r="F10" s="2">
        <f>Rekap_Penjualan_Bulanan!F10</f>
        <v>2</v>
      </c>
      <c r="G10" s="2">
        <f>Rekap_Penjualan_Bulanan!G10</f>
        <v>0</v>
      </c>
      <c r="H10" s="2">
        <f t="shared" si="0"/>
        <v>15</v>
      </c>
      <c r="I10" s="2">
        <f t="shared" si="1"/>
        <v>4</v>
      </c>
      <c r="J10" s="2">
        <f>SUMPRODUCT({1,2,3,4,5},C10:G10)</f>
        <v>12</v>
      </c>
      <c r="K10" s="2">
        <f t="shared" si="2"/>
        <v>55</v>
      </c>
      <c r="L10" s="10">
        <f>SLOPE(C10:G10,{1,2,3,4,5})</f>
        <v>0</v>
      </c>
      <c r="M10" s="10">
        <f>INTERCEPT(C10:G10,{1,2,3,4,5})</f>
        <v>0.8</v>
      </c>
      <c r="N10" s="10">
        <f t="shared" si="3"/>
        <v>0.8</v>
      </c>
      <c r="O10" s="10">
        <f t="shared" si="4"/>
        <v>0.03</v>
      </c>
      <c r="P10" s="2">
        <f>VLOOKUP(products!I10,Supplier!$A:$E,5,0)</f>
        <v>6</v>
      </c>
      <c r="Q10" s="2">
        <f t="shared" si="5"/>
        <v>1</v>
      </c>
      <c r="R10" s="2">
        <f t="shared" si="6"/>
        <v>2</v>
      </c>
      <c r="S10" s="2">
        <f>products!H10</f>
        <v>12</v>
      </c>
      <c r="T10" s="2" t="str">
        <f t="shared" si="7"/>
        <v>Aman</v>
      </c>
      <c r="U10" s="2" t="str">
        <f>VLOOKUP(products!I10,Supplier!$A:$B,2,0)</f>
        <v>Olimart Sanjaya Motor</v>
      </c>
    </row>
    <row r="11" spans="1:21" x14ac:dyDescent="0.3">
      <c r="A11" s="5">
        <v>10</v>
      </c>
      <c r="B11" s="5" t="str">
        <f>products!B11</f>
        <v>Talang Air Mobil</v>
      </c>
      <c r="C11" s="5">
        <f>Rekap_Penjualan_Bulanan!C11</f>
        <v>0</v>
      </c>
      <c r="D11" s="5">
        <f>Rekap_Penjualan_Bulanan!D11</f>
        <v>0</v>
      </c>
      <c r="E11" s="5">
        <f>Rekap_Penjualan_Bulanan!E11</f>
        <v>0</v>
      </c>
      <c r="F11" s="5">
        <f>Rekap_Penjualan_Bulanan!F11</f>
        <v>0</v>
      </c>
      <c r="G11" s="5">
        <f>Rekap_Penjualan_Bulanan!G11</f>
        <v>0</v>
      </c>
      <c r="H11" s="5">
        <f t="shared" si="0"/>
        <v>15</v>
      </c>
      <c r="I11" s="5">
        <f t="shared" si="1"/>
        <v>0</v>
      </c>
      <c r="J11" s="5">
        <f>SUMPRODUCT({1,2,3,4,5},C11:G11)</f>
        <v>0</v>
      </c>
      <c r="K11" s="5">
        <f t="shared" si="2"/>
        <v>55</v>
      </c>
      <c r="L11" s="11">
        <f>SLOPE(C11:G11,{1,2,3,4,5})</f>
        <v>0</v>
      </c>
      <c r="M11" s="11">
        <f>INTERCEPT(C11:G11,{1,2,3,4,5})</f>
        <v>0</v>
      </c>
      <c r="N11" s="11">
        <f t="shared" si="3"/>
        <v>0</v>
      </c>
      <c r="O11" s="11">
        <f t="shared" si="4"/>
        <v>0</v>
      </c>
      <c r="P11" s="5">
        <f>VLOOKUP(products!I11,Supplier!$A:$E,5,0)</f>
        <v>5</v>
      </c>
      <c r="Q11" s="5">
        <f t="shared" si="5"/>
        <v>1</v>
      </c>
      <c r="R11" s="5">
        <f t="shared" si="6"/>
        <v>1</v>
      </c>
      <c r="S11" s="5">
        <f>products!H11</f>
        <v>6</v>
      </c>
      <c r="T11" s="5" t="str">
        <f t="shared" si="7"/>
        <v>Aman</v>
      </c>
      <c r="U11" s="5" t="str">
        <f>VLOOKUP(products!I11,Supplier!$A:$B,2,0)</f>
        <v>Prima Motor Variasi</v>
      </c>
    </row>
    <row r="12" spans="1:21" x14ac:dyDescent="0.3">
      <c r="A12" s="2">
        <v>11</v>
      </c>
      <c r="B12" s="2" t="str">
        <f>products!B12</f>
        <v>Wiper Standar</v>
      </c>
      <c r="C12" s="2">
        <f>Rekap_Penjualan_Bulanan!C12</f>
        <v>3</v>
      </c>
      <c r="D12" s="2">
        <f>Rekap_Penjualan_Bulanan!D12</f>
        <v>0</v>
      </c>
      <c r="E12" s="2">
        <f>Rekap_Penjualan_Bulanan!E12</f>
        <v>2</v>
      </c>
      <c r="F12" s="2">
        <f>Rekap_Penjualan_Bulanan!F12</f>
        <v>2</v>
      </c>
      <c r="G12" s="2">
        <f>Rekap_Penjualan_Bulanan!G12</f>
        <v>2</v>
      </c>
      <c r="H12" s="2">
        <f t="shared" si="0"/>
        <v>15</v>
      </c>
      <c r="I12" s="2">
        <f t="shared" si="1"/>
        <v>9</v>
      </c>
      <c r="J12" s="2">
        <f>SUMPRODUCT({1,2,3,4,5},C12:G12)</f>
        <v>27</v>
      </c>
      <c r="K12" s="2">
        <f t="shared" si="2"/>
        <v>55</v>
      </c>
      <c r="L12" s="10">
        <f>SLOPE(C12:G12,{1,2,3,4,5})</f>
        <v>0</v>
      </c>
      <c r="M12" s="10">
        <f>INTERCEPT(C12:G12,{1,2,3,4,5})</f>
        <v>1.8</v>
      </c>
      <c r="N12" s="10">
        <f t="shared" si="3"/>
        <v>1.8</v>
      </c>
      <c r="O12" s="10">
        <f t="shared" si="4"/>
        <v>0.06</v>
      </c>
      <c r="P12" s="2">
        <f>VLOOKUP(products!I12,Supplier!$A:$E,5,0)</f>
        <v>4</v>
      </c>
      <c r="Q12" s="2">
        <f t="shared" si="5"/>
        <v>1</v>
      </c>
      <c r="R12" s="2">
        <f t="shared" si="6"/>
        <v>2</v>
      </c>
      <c r="S12" s="2">
        <f>products!H12</f>
        <v>7</v>
      </c>
      <c r="T12" s="2" t="str">
        <f t="shared" si="7"/>
        <v>Aman</v>
      </c>
      <c r="U12" s="2" t="str">
        <f>VLOOKUP(products!I12,Supplier!$A:$B,2,0)</f>
        <v>Variasi Mobil Sukowati</v>
      </c>
    </row>
    <row r="13" spans="1:21" x14ac:dyDescent="0.3">
      <c r="A13" s="5">
        <v>12</v>
      </c>
      <c r="B13" s="5" t="str">
        <f>products!B13</f>
        <v>Wiper Silicone</v>
      </c>
      <c r="C13" s="5">
        <f>Rekap_Penjualan_Bulanan!C13</f>
        <v>4</v>
      </c>
      <c r="D13" s="5">
        <f>Rekap_Penjualan_Bulanan!D13</f>
        <v>0</v>
      </c>
      <c r="E13" s="5">
        <f>Rekap_Penjualan_Bulanan!E13</f>
        <v>0</v>
      </c>
      <c r="F13" s="5">
        <f>Rekap_Penjualan_Bulanan!F13</f>
        <v>2</v>
      </c>
      <c r="G13" s="5">
        <f>Rekap_Penjualan_Bulanan!G13</f>
        <v>0</v>
      </c>
      <c r="H13" s="5">
        <f t="shared" si="0"/>
        <v>15</v>
      </c>
      <c r="I13" s="5">
        <f t="shared" si="1"/>
        <v>6</v>
      </c>
      <c r="J13" s="5">
        <f>SUMPRODUCT({1,2,3,4,5},C13:G13)</f>
        <v>12</v>
      </c>
      <c r="K13" s="5">
        <f t="shared" si="2"/>
        <v>55</v>
      </c>
      <c r="L13" s="11">
        <f>SLOPE(C13:G13,{1,2,3,4,5})</f>
        <v>-0.6</v>
      </c>
      <c r="M13" s="11">
        <f>INTERCEPT(C13:G13,{1,2,3,4,5})</f>
        <v>3</v>
      </c>
      <c r="N13" s="11">
        <f t="shared" si="3"/>
        <v>-0.59999999999999964</v>
      </c>
      <c r="O13" s="11">
        <f t="shared" si="4"/>
        <v>-0.02</v>
      </c>
      <c r="P13" s="5">
        <f>VLOOKUP(products!I13,Supplier!$A:$E,5,0)</f>
        <v>3</v>
      </c>
      <c r="Q13" s="5">
        <f t="shared" si="5"/>
        <v>1</v>
      </c>
      <c r="R13" s="5">
        <f t="shared" si="6"/>
        <v>1</v>
      </c>
      <c r="S13" s="5">
        <f>products!H13</f>
        <v>4</v>
      </c>
      <c r="T13" s="5" t="str">
        <f t="shared" si="7"/>
        <v>Aman</v>
      </c>
      <c r="U13" s="5" t="str">
        <f>VLOOKUP(products!I13,Supplier!$A:$B,2,0)</f>
        <v>Grosir Variasi Mobil</v>
      </c>
    </row>
    <row r="14" spans="1:21" x14ac:dyDescent="0.3">
      <c r="A14" s="2">
        <v>13</v>
      </c>
      <c r="B14" s="2" t="str">
        <f>products!B14</f>
        <v>Lampu Senja LED</v>
      </c>
      <c r="C14" s="2">
        <f>Rekap_Penjualan_Bulanan!C14</f>
        <v>0</v>
      </c>
      <c r="D14" s="2">
        <f>Rekap_Penjualan_Bulanan!D14</f>
        <v>2</v>
      </c>
      <c r="E14" s="2">
        <f>Rekap_Penjualan_Bulanan!E14</f>
        <v>0</v>
      </c>
      <c r="F14" s="2">
        <f>Rekap_Penjualan_Bulanan!F14</f>
        <v>5</v>
      </c>
      <c r="G14" s="2">
        <f>Rekap_Penjualan_Bulanan!G14</f>
        <v>1</v>
      </c>
      <c r="H14" s="2">
        <f t="shared" si="0"/>
        <v>15</v>
      </c>
      <c r="I14" s="2">
        <f t="shared" si="1"/>
        <v>8</v>
      </c>
      <c r="J14" s="2">
        <f>SUMPRODUCT({1,2,3,4,5},C14:G14)</f>
        <v>29</v>
      </c>
      <c r="K14" s="2">
        <f t="shared" si="2"/>
        <v>55</v>
      </c>
      <c r="L14" s="10">
        <f>SLOPE(C14:G14,{1,2,3,4,5})</f>
        <v>0.5</v>
      </c>
      <c r="M14" s="10">
        <f>INTERCEPT(C14:G14,{1,2,3,4,5})</f>
        <v>0.10000000000000009</v>
      </c>
      <c r="N14" s="10">
        <f t="shared" si="3"/>
        <v>3.1</v>
      </c>
      <c r="O14" s="10">
        <f t="shared" si="4"/>
        <v>0.1</v>
      </c>
      <c r="P14" s="2">
        <f>VLOOKUP(products!I14,Supplier!$A:$E,5,0)</f>
        <v>2</v>
      </c>
      <c r="Q14" s="2">
        <f t="shared" si="5"/>
        <v>1</v>
      </c>
      <c r="R14" s="2">
        <f t="shared" si="6"/>
        <v>2</v>
      </c>
      <c r="S14" s="2">
        <f>products!H14</f>
        <v>11</v>
      </c>
      <c r="T14" s="2" t="str">
        <f t="shared" si="7"/>
        <v>Aman</v>
      </c>
      <c r="U14" s="2" t="str">
        <f>VLOOKUP(products!I14,Supplier!$A:$B,2,0)</f>
        <v>Toko Sinar Jaya Variasi Mobil</v>
      </c>
    </row>
    <row r="15" spans="1:21" x14ac:dyDescent="0.3">
      <c r="A15" s="5">
        <v>14</v>
      </c>
      <c r="B15" s="5" t="str">
        <f>products!B15</f>
        <v>Lampu Plafon LED</v>
      </c>
      <c r="C15" s="5">
        <f>Rekap_Penjualan_Bulanan!C15</f>
        <v>0</v>
      </c>
      <c r="D15" s="5">
        <f>Rekap_Penjualan_Bulanan!D15</f>
        <v>0</v>
      </c>
      <c r="E15" s="5">
        <f>Rekap_Penjualan_Bulanan!E15</f>
        <v>0</v>
      </c>
      <c r="F15" s="5">
        <f>Rekap_Penjualan_Bulanan!F15</f>
        <v>0</v>
      </c>
      <c r="G15" s="5">
        <f>Rekap_Penjualan_Bulanan!G15</f>
        <v>0</v>
      </c>
      <c r="H15" s="5">
        <f t="shared" si="0"/>
        <v>15</v>
      </c>
      <c r="I15" s="5">
        <f t="shared" si="1"/>
        <v>0</v>
      </c>
      <c r="J15" s="5">
        <f>SUMPRODUCT({1,2,3,4,5},C15:G15)</f>
        <v>0</v>
      </c>
      <c r="K15" s="5">
        <f t="shared" si="2"/>
        <v>55</v>
      </c>
      <c r="L15" s="11">
        <f>SLOPE(C15:G15,{1,2,3,4,5})</f>
        <v>0</v>
      </c>
      <c r="M15" s="11">
        <f>INTERCEPT(C15:G15,{1,2,3,4,5})</f>
        <v>0</v>
      </c>
      <c r="N15" s="11">
        <f t="shared" si="3"/>
        <v>0</v>
      </c>
      <c r="O15" s="11">
        <f t="shared" si="4"/>
        <v>0</v>
      </c>
      <c r="P15" s="5">
        <f>VLOOKUP(products!I15,Supplier!$A:$E,5,0)</f>
        <v>4</v>
      </c>
      <c r="Q15" s="5">
        <f t="shared" si="5"/>
        <v>1</v>
      </c>
      <c r="R15" s="5">
        <f t="shared" si="6"/>
        <v>1</v>
      </c>
      <c r="S15" s="5">
        <f>products!H15</f>
        <v>9</v>
      </c>
      <c r="T15" s="5" t="str">
        <f t="shared" si="7"/>
        <v>Aman</v>
      </c>
      <c r="U15" s="5" t="str">
        <f>VLOOKUP(products!I15,Supplier!$A:$B,2,0)</f>
        <v>Istana Stadion Variasi Mobil</v>
      </c>
    </row>
    <row r="16" spans="1:21" x14ac:dyDescent="0.3">
      <c r="A16" s="2">
        <v>15</v>
      </c>
      <c r="B16" s="2" t="str">
        <f>products!B16</f>
        <v>Lampu Sein LED</v>
      </c>
      <c r="C16" s="2">
        <f>Rekap_Penjualan_Bulanan!C16</f>
        <v>3</v>
      </c>
      <c r="D16" s="2">
        <f>Rekap_Penjualan_Bulanan!D16</f>
        <v>1</v>
      </c>
      <c r="E16" s="2">
        <f>Rekap_Penjualan_Bulanan!E16</f>
        <v>6</v>
      </c>
      <c r="F16" s="2">
        <f>Rekap_Penjualan_Bulanan!F16</f>
        <v>3</v>
      </c>
      <c r="G16" s="2">
        <f>Rekap_Penjualan_Bulanan!G16</f>
        <v>3</v>
      </c>
      <c r="H16" s="2">
        <f t="shared" si="0"/>
        <v>15</v>
      </c>
      <c r="I16" s="2">
        <f t="shared" si="1"/>
        <v>16</v>
      </c>
      <c r="J16" s="2">
        <f>SUMPRODUCT({1,2,3,4,5},C16:G16)</f>
        <v>50</v>
      </c>
      <c r="K16" s="2">
        <f t="shared" si="2"/>
        <v>55</v>
      </c>
      <c r="L16" s="10">
        <f>SLOPE(C16:G16,{1,2,3,4,5})</f>
        <v>0.2</v>
      </c>
      <c r="M16" s="10">
        <f>INTERCEPT(C16:G16,{1,2,3,4,5})</f>
        <v>2.6</v>
      </c>
      <c r="N16" s="10">
        <f t="shared" si="3"/>
        <v>3.8000000000000003</v>
      </c>
      <c r="O16" s="10">
        <f t="shared" si="4"/>
        <v>0.13</v>
      </c>
      <c r="P16" s="2">
        <f>VLOOKUP(products!I16,Supplier!$A:$E,5,0)</f>
        <v>3</v>
      </c>
      <c r="Q16" s="2">
        <f t="shared" si="5"/>
        <v>1</v>
      </c>
      <c r="R16" s="2">
        <f t="shared" si="6"/>
        <v>2</v>
      </c>
      <c r="S16" s="2">
        <f>products!H16</f>
        <v>5</v>
      </c>
      <c r="T16" s="2" t="str">
        <f t="shared" si="7"/>
        <v>Aman</v>
      </c>
      <c r="U16" s="2" t="str">
        <f>VLOOKUP(products!I16,Supplier!$A:$B,2,0)</f>
        <v>Ristana Variasi Sompok</v>
      </c>
    </row>
    <row r="17" spans="1:21" x14ac:dyDescent="0.3">
      <c r="A17" s="5">
        <v>16</v>
      </c>
      <c r="B17" s="5" t="str">
        <f>products!B17</f>
        <v>Klakson Mobil</v>
      </c>
      <c r="C17" s="5">
        <f>Rekap_Penjualan_Bulanan!C17</f>
        <v>0</v>
      </c>
      <c r="D17" s="5">
        <f>Rekap_Penjualan_Bulanan!D17</f>
        <v>0</v>
      </c>
      <c r="E17" s="5">
        <f>Rekap_Penjualan_Bulanan!E17</f>
        <v>0</v>
      </c>
      <c r="F17" s="5">
        <f>Rekap_Penjualan_Bulanan!F17</f>
        <v>1</v>
      </c>
      <c r="G17" s="5">
        <f>Rekap_Penjualan_Bulanan!G17</f>
        <v>2</v>
      </c>
      <c r="H17" s="5">
        <f t="shared" si="0"/>
        <v>15</v>
      </c>
      <c r="I17" s="5">
        <f t="shared" si="1"/>
        <v>3</v>
      </c>
      <c r="J17" s="5">
        <f>SUMPRODUCT({1,2,3,4,5},C17:G17)</f>
        <v>14</v>
      </c>
      <c r="K17" s="5">
        <f t="shared" si="2"/>
        <v>55</v>
      </c>
      <c r="L17" s="11">
        <f>SLOPE(C17:G17,{1,2,3,4,5})</f>
        <v>0.5</v>
      </c>
      <c r="M17" s="11">
        <f>INTERCEPT(C17:G17,{1,2,3,4,5})</f>
        <v>-0.9</v>
      </c>
      <c r="N17" s="11">
        <f t="shared" si="3"/>
        <v>2.1</v>
      </c>
      <c r="O17" s="11">
        <f t="shared" si="4"/>
        <v>7.0000000000000007E-2</v>
      </c>
      <c r="P17" s="5">
        <f>VLOOKUP(products!I17,Supplier!$A:$E,5,0)</f>
        <v>5</v>
      </c>
      <c r="Q17" s="5">
        <f t="shared" si="5"/>
        <v>1</v>
      </c>
      <c r="R17" s="5">
        <f t="shared" si="6"/>
        <v>2</v>
      </c>
      <c r="S17" s="5">
        <f>products!H17</f>
        <v>3</v>
      </c>
      <c r="T17" s="5" t="str">
        <f t="shared" si="7"/>
        <v>Aman</v>
      </c>
      <c r="U17" s="5" t="str">
        <f>VLOOKUP(products!I17,Supplier!$A:$B,2,0)</f>
        <v>FAA Variasi</v>
      </c>
    </row>
    <row r="18" spans="1:21" x14ac:dyDescent="0.3">
      <c r="A18" s="2">
        <v>17</v>
      </c>
      <c r="B18" s="2" t="str">
        <f>products!B18</f>
        <v>Phone Holder Mobil</v>
      </c>
      <c r="C18" s="2">
        <f>Rekap_Penjualan_Bulanan!C18</f>
        <v>4</v>
      </c>
      <c r="D18" s="2">
        <f>Rekap_Penjualan_Bulanan!D18</f>
        <v>0</v>
      </c>
      <c r="E18" s="2">
        <f>Rekap_Penjualan_Bulanan!E18</f>
        <v>4</v>
      </c>
      <c r="F18" s="2">
        <f>Rekap_Penjualan_Bulanan!F18</f>
        <v>1</v>
      </c>
      <c r="G18" s="2">
        <f>Rekap_Penjualan_Bulanan!G18</f>
        <v>2</v>
      </c>
      <c r="H18" s="2">
        <f t="shared" si="0"/>
        <v>15</v>
      </c>
      <c r="I18" s="2">
        <f t="shared" si="1"/>
        <v>11</v>
      </c>
      <c r="J18" s="2">
        <f>SUMPRODUCT({1,2,3,4,5},C18:G18)</f>
        <v>30</v>
      </c>
      <c r="K18" s="2">
        <f t="shared" si="2"/>
        <v>55</v>
      </c>
      <c r="L18" s="10">
        <f>SLOPE(C18:G18,{1,2,3,4,5})</f>
        <v>-0.3</v>
      </c>
      <c r="M18" s="10">
        <f>INTERCEPT(C18:G18,{1,2,3,4,5})</f>
        <v>3.1</v>
      </c>
      <c r="N18" s="10">
        <f t="shared" si="3"/>
        <v>1.3000000000000003</v>
      </c>
      <c r="O18" s="10">
        <f t="shared" si="4"/>
        <v>0.04</v>
      </c>
      <c r="P18" s="2">
        <f>VLOOKUP(products!I18,Supplier!$A:$E,5,0)</f>
        <v>7</v>
      </c>
      <c r="Q18" s="2">
        <f t="shared" si="5"/>
        <v>1</v>
      </c>
      <c r="R18" s="2">
        <f t="shared" si="6"/>
        <v>2</v>
      </c>
      <c r="S18" s="2">
        <f>products!H18</f>
        <v>6</v>
      </c>
      <c r="T18" s="2" t="str">
        <f t="shared" si="7"/>
        <v>Aman</v>
      </c>
      <c r="U18" s="2" t="str">
        <f>VLOOKUP(products!I18,Supplier!$A:$B,2,0)</f>
        <v>JA Auto Bodykit</v>
      </c>
    </row>
    <row r="19" spans="1:21" x14ac:dyDescent="0.3">
      <c r="A19" s="5">
        <v>18</v>
      </c>
      <c r="B19" s="5" t="str">
        <f>products!B19</f>
        <v>USB Fast Charger Mobil</v>
      </c>
      <c r="C19" s="5">
        <f>Rekap_Penjualan_Bulanan!C19</f>
        <v>0</v>
      </c>
      <c r="D19" s="5">
        <f>Rekap_Penjualan_Bulanan!D19</f>
        <v>0</v>
      </c>
      <c r="E19" s="5">
        <f>Rekap_Penjualan_Bulanan!E19</f>
        <v>2</v>
      </c>
      <c r="F19" s="5">
        <f>Rekap_Penjualan_Bulanan!F19</f>
        <v>0</v>
      </c>
      <c r="G19" s="5">
        <f>Rekap_Penjualan_Bulanan!G19</f>
        <v>2</v>
      </c>
      <c r="H19" s="5">
        <f t="shared" si="0"/>
        <v>15</v>
      </c>
      <c r="I19" s="5">
        <f t="shared" si="1"/>
        <v>4</v>
      </c>
      <c r="J19" s="5">
        <f>SUMPRODUCT({1,2,3,4,5},C19:G19)</f>
        <v>16</v>
      </c>
      <c r="K19" s="5">
        <f t="shared" si="2"/>
        <v>55</v>
      </c>
      <c r="L19" s="11">
        <f>SLOPE(C19:G19,{1,2,3,4,5})</f>
        <v>0.4</v>
      </c>
      <c r="M19" s="11">
        <f>INTERCEPT(C19:G19,{1,2,3,4,5})</f>
        <v>-0.40000000000000013</v>
      </c>
      <c r="N19" s="11">
        <f t="shared" si="3"/>
        <v>2</v>
      </c>
      <c r="O19" s="11">
        <f t="shared" si="4"/>
        <v>7.0000000000000007E-2</v>
      </c>
      <c r="P19" s="5">
        <f>VLOOKUP(products!I19,Supplier!$A:$E,5,0)</f>
        <v>5</v>
      </c>
      <c r="Q19" s="5">
        <f t="shared" si="5"/>
        <v>1</v>
      </c>
      <c r="R19" s="5">
        <f t="shared" si="6"/>
        <v>2</v>
      </c>
      <c r="S19" s="5">
        <f>products!H19</f>
        <v>5</v>
      </c>
      <c r="T19" s="5" t="str">
        <f t="shared" si="7"/>
        <v>Aman</v>
      </c>
      <c r="U19" s="5" t="str">
        <f>VLOOKUP(products!I19,Supplier!$A:$B,2,0)</f>
        <v>UD Enggal Jaya</v>
      </c>
    </row>
    <row r="20" spans="1:21" x14ac:dyDescent="0.3">
      <c r="A20" s="2">
        <v>19</v>
      </c>
      <c r="B20" s="2" t="str">
        <f>products!B20</f>
        <v>Kamera Mundur</v>
      </c>
      <c r="C20" s="2">
        <f>Rekap_Penjualan_Bulanan!C20</f>
        <v>0</v>
      </c>
      <c r="D20" s="2">
        <f>Rekap_Penjualan_Bulanan!D20</f>
        <v>4</v>
      </c>
      <c r="E20" s="2">
        <f>Rekap_Penjualan_Bulanan!E20</f>
        <v>1</v>
      </c>
      <c r="F20" s="2">
        <f>Rekap_Penjualan_Bulanan!F20</f>
        <v>0</v>
      </c>
      <c r="G20" s="2">
        <f>Rekap_Penjualan_Bulanan!G20</f>
        <v>0</v>
      </c>
      <c r="H20" s="2">
        <f t="shared" si="0"/>
        <v>15</v>
      </c>
      <c r="I20" s="2">
        <f t="shared" si="1"/>
        <v>5</v>
      </c>
      <c r="J20" s="2">
        <f>SUMPRODUCT({1,2,3,4,5},C20:G20)</f>
        <v>11</v>
      </c>
      <c r="K20" s="2">
        <f t="shared" si="2"/>
        <v>55</v>
      </c>
      <c r="L20" s="10">
        <f>SLOPE(C20:G20,{1,2,3,4,5})</f>
        <v>-0.4</v>
      </c>
      <c r="M20" s="10">
        <f>INTERCEPT(C20:G20,{1,2,3,4,5})</f>
        <v>2.2000000000000002</v>
      </c>
      <c r="N20" s="10">
        <f t="shared" si="3"/>
        <v>-0.20000000000000018</v>
      </c>
      <c r="O20" s="10">
        <f t="shared" si="4"/>
        <v>-0.01</v>
      </c>
      <c r="P20" s="2">
        <f>VLOOKUP(products!I20,Supplier!$A:$E,5,0)</f>
        <v>4</v>
      </c>
      <c r="Q20" s="2">
        <f t="shared" si="5"/>
        <v>1</v>
      </c>
      <c r="R20" s="2">
        <f t="shared" si="6"/>
        <v>1</v>
      </c>
      <c r="S20" s="2">
        <f>products!H20</f>
        <v>8</v>
      </c>
      <c r="T20" s="2" t="str">
        <f t="shared" si="7"/>
        <v>Aman</v>
      </c>
      <c r="U20" s="2" t="str">
        <f>VLOOKUP(products!I20,Supplier!$A:$B,2,0)</f>
        <v>D2 Audio Variasi</v>
      </c>
    </row>
    <row r="21" spans="1:21" x14ac:dyDescent="0.3">
      <c r="A21" s="5">
        <v>20</v>
      </c>
      <c r="B21" s="5" t="str">
        <f>products!B21</f>
        <v>Sensor Parkir</v>
      </c>
      <c r="C21" s="5">
        <f>Rekap_Penjualan_Bulanan!C21</f>
        <v>0</v>
      </c>
      <c r="D21" s="5">
        <f>Rekap_Penjualan_Bulanan!D21</f>
        <v>0</v>
      </c>
      <c r="E21" s="5">
        <f>Rekap_Penjualan_Bulanan!E21</f>
        <v>0</v>
      </c>
      <c r="F21" s="5">
        <f>Rekap_Penjualan_Bulanan!F21</f>
        <v>1</v>
      </c>
      <c r="G21" s="5">
        <f>Rekap_Penjualan_Bulanan!G21</f>
        <v>0</v>
      </c>
      <c r="H21" s="5">
        <f t="shared" si="0"/>
        <v>15</v>
      </c>
      <c r="I21" s="5">
        <f t="shared" si="1"/>
        <v>1</v>
      </c>
      <c r="J21" s="5">
        <f>SUMPRODUCT({1,2,3,4,5},C21:G21)</f>
        <v>4</v>
      </c>
      <c r="K21" s="5">
        <f t="shared" si="2"/>
        <v>55</v>
      </c>
      <c r="L21" s="11">
        <f>SLOPE(C21:G21,{1,2,3,4,5})</f>
        <v>0.1</v>
      </c>
      <c r="M21" s="11">
        <f>INTERCEPT(C21:G21,{1,2,3,4,5})</f>
        <v>-0.10000000000000003</v>
      </c>
      <c r="N21" s="11">
        <f t="shared" si="3"/>
        <v>0.5</v>
      </c>
      <c r="O21" s="11">
        <f t="shared" si="4"/>
        <v>0.02</v>
      </c>
      <c r="P21" s="5">
        <f>VLOOKUP(products!I21,Supplier!$A:$E,5,0)</f>
        <v>6</v>
      </c>
      <c r="Q21" s="5">
        <f t="shared" si="5"/>
        <v>1</v>
      </c>
      <c r="R21" s="5">
        <f t="shared" si="6"/>
        <v>2</v>
      </c>
      <c r="S21" s="5">
        <f>products!H21</f>
        <v>6</v>
      </c>
      <c r="T21" s="5" t="str">
        <f t="shared" si="7"/>
        <v>Aman</v>
      </c>
      <c r="U21" s="5" t="str">
        <f>VLOOKUP(products!I21,Supplier!$A:$B,2,0)</f>
        <v>Olimart Sanjaya Motor</v>
      </c>
    </row>
    <row r="22" spans="1:21" x14ac:dyDescent="0.3">
      <c r="A22" s="2">
        <v>21</v>
      </c>
      <c r="B22" s="2" t="str">
        <f>products!B22</f>
        <v>Karpet Mobil Universal</v>
      </c>
      <c r="C22" s="2">
        <f>Rekap_Penjualan_Bulanan!C22</f>
        <v>3</v>
      </c>
      <c r="D22" s="2">
        <f>Rekap_Penjualan_Bulanan!D22</f>
        <v>0</v>
      </c>
      <c r="E22" s="2">
        <f>Rekap_Penjualan_Bulanan!E22</f>
        <v>1</v>
      </c>
      <c r="F22" s="2">
        <f>Rekap_Penjualan_Bulanan!F22</f>
        <v>1</v>
      </c>
      <c r="G22" s="2">
        <f>Rekap_Penjualan_Bulanan!G22</f>
        <v>2</v>
      </c>
      <c r="H22" s="2">
        <f t="shared" si="0"/>
        <v>15</v>
      </c>
      <c r="I22" s="2">
        <f t="shared" si="1"/>
        <v>7</v>
      </c>
      <c r="J22" s="2">
        <f>SUMPRODUCT({1,2,3,4,5},C22:G22)</f>
        <v>20</v>
      </c>
      <c r="K22" s="2">
        <f t="shared" si="2"/>
        <v>55</v>
      </c>
      <c r="L22" s="10">
        <f>SLOPE(C22:G22,{1,2,3,4,5})</f>
        <v>-0.1</v>
      </c>
      <c r="M22" s="10">
        <f>INTERCEPT(C22:G22,{1,2,3,4,5})</f>
        <v>1.7</v>
      </c>
      <c r="N22" s="10">
        <f t="shared" si="3"/>
        <v>1.0999999999999999</v>
      </c>
      <c r="O22" s="10">
        <f t="shared" si="4"/>
        <v>0.04</v>
      </c>
      <c r="P22" s="2">
        <f>VLOOKUP(products!I22,Supplier!$A:$E,5,0)</f>
        <v>5</v>
      </c>
      <c r="Q22" s="2">
        <f t="shared" si="5"/>
        <v>1</v>
      </c>
      <c r="R22" s="2">
        <f t="shared" si="6"/>
        <v>2</v>
      </c>
      <c r="S22" s="2">
        <f>products!H22</f>
        <v>12</v>
      </c>
      <c r="T22" s="2" t="str">
        <f t="shared" si="7"/>
        <v>Aman</v>
      </c>
      <c r="U22" s="2" t="str">
        <f>VLOOKUP(products!I22,Supplier!$A:$B,2,0)</f>
        <v>Prima Motor Variasi</v>
      </c>
    </row>
    <row r="23" spans="1:21" x14ac:dyDescent="0.3">
      <c r="A23" s="5">
        <v>22</v>
      </c>
      <c r="B23" s="5" t="str">
        <f>products!B23</f>
        <v>Cover Jok Mobil</v>
      </c>
      <c r="C23" s="5">
        <f>Rekap_Penjualan_Bulanan!C23</f>
        <v>0</v>
      </c>
      <c r="D23" s="5">
        <f>Rekap_Penjualan_Bulanan!D23</f>
        <v>0</v>
      </c>
      <c r="E23" s="5">
        <f>Rekap_Penjualan_Bulanan!E23</f>
        <v>0</v>
      </c>
      <c r="F23" s="5">
        <f>Rekap_Penjualan_Bulanan!F23</f>
        <v>0</v>
      </c>
      <c r="G23" s="5">
        <f>Rekap_Penjualan_Bulanan!G23</f>
        <v>0</v>
      </c>
      <c r="H23" s="5">
        <f t="shared" si="0"/>
        <v>15</v>
      </c>
      <c r="I23" s="5">
        <f t="shared" si="1"/>
        <v>0</v>
      </c>
      <c r="J23" s="5">
        <f>SUMPRODUCT({1,2,3,4,5},C23:G23)</f>
        <v>0</v>
      </c>
      <c r="K23" s="5">
        <f t="shared" si="2"/>
        <v>55</v>
      </c>
      <c r="L23" s="11">
        <f>SLOPE(C23:G23,{1,2,3,4,5})</f>
        <v>0</v>
      </c>
      <c r="M23" s="11">
        <f>INTERCEPT(C23:G23,{1,2,3,4,5})</f>
        <v>0</v>
      </c>
      <c r="N23" s="11">
        <f t="shared" si="3"/>
        <v>0</v>
      </c>
      <c r="O23" s="11">
        <f t="shared" si="4"/>
        <v>0</v>
      </c>
      <c r="P23" s="5">
        <f>VLOOKUP(products!I23,Supplier!$A:$E,5,0)</f>
        <v>4</v>
      </c>
      <c r="Q23" s="5">
        <f t="shared" si="5"/>
        <v>1</v>
      </c>
      <c r="R23" s="5">
        <f t="shared" si="6"/>
        <v>1</v>
      </c>
      <c r="S23" s="5">
        <f>products!H23</f>
        <v>8</v>
      </c>
      <c r="T23" s="5" t="str">
        <f t="shared" si="7"/>
        <v>Aman</v>
      </c>
      <c r="U23" s="5" t="str">
        <f>VLOOKUP(products!I23,Supplier!$A:$B,2,0)</f>
        <v>Variasi Mobil Sukowati</v>
      </c>
    </row>
    <row r="24" spans="1:21" x14ac:dyDescent="0.3">
      <c r="A24" s="2">
        <v>23</v>
      </c>
      <c r="B24" s="2" t="str">
        <f>products!B24</f>
        <v>Sarung Stir Mobil</v>
      </c>
      <c r="C24" s="2">
        <f>Rekap_Penjualan_Bulanan!C24</f>
        <v>1</v>
      </c>
      <c r="D24" s="2">
        <f>Rekap_Penjualan_Bulanan!D24</f>
        <v>1</v>
      </c>
      <c r="E24" s="2">
        <f>Rekap_Penjualan_Bulanan!E24</f>
        <v>2</v>
      </c>
      <c r="F24" s="2">
        <f>Rekap_Penjualan_Bulanan!F24</f>
        <v>0</v>
      </c>
      <c r="G24" s="2">
        <f>Rekap_Penjualan_Bulanan!G24</f>
        <v>0</v>
      </c>
      <c r="H24" s="2">
        <f t="shared" si="0"/>
        <v>15</v>
      </c>
      <c r="I24" s="2">
        <f t="shared" si="1"/>
        <v>4</v>
      </c>
      <c r="J24" s="2">
        <f>SUMPRODUCT({1,2,3,4,5},C24:G24)</f>
        <v>9</v>
      </c>
      <c r="K24" s="2">
        <f t="shared" si="2"/>
        <v>55</v>
      </c>
      <c r="L24" s="10">
        <f>SLOPE(C24:G24,{1,2,3,4,5})</f>
        <v>-0.3</v>
      </c>
      <c r="M24" s="10">
        <f>INTERCEPT(C24:G24,{1,2,3,4,5})</f>
        <v>1.7</v>
      </c>
      <c r="N24" s="10">
        <f t="shared" si="3"/>
        <v>-9.9999999999999867E-2</v>
      </c>
      <c r="O24" s="10">
        <f t="shared" si="4"/>
        <v>0</v>
      </c>
      <c r="P24" s="2">
        <f>VLOOKUP(products!I24,Supplier!$A:$E,5,0)</f>
        <v>3</v>
      </c>
      <c r="Q24" s="2">
        <f t="shared" si="5"/>
        <v>1</v>
      </c>
      <c r="R24" s="2">
        <f t="shared" si="6"/>
        <v>1</v>
      </c>
      <c r="S24" s="2">
        <f>products!H24</f>
        <v>12</v>
      </c>
      <c r="T24" s="2" t="str">
        <f t="shared" si="7"/>
        <v>Aman</v>
      </c>
      <c r="U24" s="2" t="str">
        <f>VLOOKUP(products!I24,Supplier!$A:$B,2,0)</f>
        <v>Grosir Variasi Mobil</v>
      </c>
    </row>
    <row r="25" spans="1:21" x14ac:dyDescent="0.3">
      <c r="A25" s="5">
        <v>24</v>
      </c>
      <c r="B25" s="5" t="str">
        <f>products!B25</f>
        <v>Cover Seat Belt</v>
      </c>
      <c r="C25" s="5">
        <f>Rekap_Penjualan_Bulanan!C25</f>
        <v>1</v>
      </c>
      <c r="D25" s="5">
        <f>Rekap_Penjualan_Bulanan!D25</f>
        <v>3</v>
      </c>
      <c r="E25" s="5">
        <f>Rekap_Penjualan_Bulanan!E25</f>
        <v>1</v>
      </c>
      <c r="F25" s="5">
        <f>Rekap_Penjualan_Bulanan!F25</f>
        <v>5</v>
      </c>
      <c r="G25" s="5">
        <f>Rekap_Penjualan_Bulanan!G25</f>
        <v>2</v>
      </c>
      <c r="H25" s="5">
        <f t="shared" si="0"/>
        <v>15</v>
      </c>
      <c r="I25" s="5">
        <f t="shared" si="1"/>
        <v>12</v>
      </c>
      <c r="J25" s="5">
        <f>SUMPRODUCT({1,2,3,4,5},C25:G25)</f>
        <v>40</v>
      </c>
      <c r="K25" s="5">
        <f t="shared" si="2"/>
        <v>55</v>
      </c>
      <c r="L25" s="11">
        <f>SLOPE(C25:G25,{1,2,3,4,5})</f>
        <v>0.4</v>
      </c>
      <c r="M25" s="11">
        <f>INTERCEPT(C25:G25,{1,2,3,4,5})</f>
        <v>1.1999999999999997</v>
      </c>
      <c r="N25" s="11">
        <f t="shared" si="3"/>
        <v>3.6</v>
      </c>
      <c r="O25" s="11">
        <f t="shared" si="4"/>
        <v>0.12</v>
      </c>
      <c r="P25" s="5">
        <f>VLOOKUP(products!I25,Supplier!$A:$E,5,0)</f>
        <v>2</v>
      </c>
      <c r="Q25" s="5">
        <f t="shared" si="5"/>
        <v>1</v>
      </c>
      <c r="R25" s="5">
        <f t="shared" si="6"/>
        <v>2</v>
      </c>
      <c r="S25" s="5">
        <f>products!H25</f>
        <v>5</v>
      </c>
      <c r="T25" s="5" t="str">
        <f t="shared" si="7"/>
        <v>Aman</v>
      </c>
      <c r="U25" s="5" t="str">
        <f>VLOOKUP(products!I25,Supplier!$A:$B,2,0)</f>
        <v>Toko Sinar Jaya Variasi Mobil</v>
      </c>
    </row>
    <row r="26" spans="1:21" x14ac:dyDescent="0.3">
      <c r="A26" s="2">
        <v>25</v>
      </c>
      <c r="B26" s="2" t="str">
        <f>products!B26</f>
        <v>Stiker Kaca Mobil</v>
      </c>
      <c r="C26" s="2">
        <f>Rekap_Penjualan_Bulanan!C26</f>
        <v>0</v>
      </c>
      <c r="D26" s="2">
        <f>Rekap_Penjualan_Bulanan!D26</f>
        <v>1</v>
      </c>
      <c r="E26" s="2">
        <f>Rekap_Penjualan_Bulanan!E26</f>
        <v>2</v>
      </c>
      <c r="F26" s="2">
        <f>Rekap_Penjualan_Bulanan!F26</f>
        <v>2</v>
      </c>
      <c r="G26" s="2">
        <f>Rekap_Penjualan_Bulanan!G26</f>
        <v>3</v>
      </c>
      <c r="H26" s="2">
        <f t="shared" si="0"/>
        <v>15</v>
      </c>
      <c r="I26" s="2">
        <f t="shared" si="1"/>
        <v>8</v>
      </c>
      <c r="J26" s="2">
        <f>SUMPRODUCT({1,2,3,4,5},C26:G26)</f>
        <v>31</v>
      </c>
      <c r="K26" s="2">
        <f t="shared" si="2"/>
        <v>55</v>
      </c>
      <c r="L26" s="10">
        <f>SLOPE(C26:G26,{1,2,3,4,5})</f>
        <v>0.7</v>
      </c>
      <c r="M26" s="10">
        <f>INTERCEPT(C26:G26,{1,2,3,4,5})</f>
        <v>-0.49999999999999956</v>
      </c>
      <c r="N26" s="10">
        <f t="shared" si="3"/>
        <v>3.6999999999999997</v>
      </c>
      <c r="O26" s="10">
        <f t="shared" si="4"/>
        <v>0.12</v>
      </c>
      <c r="P26" s="2">
        <f>VLOOKUP(products!I26,Supplier!$A:$E,5,0)</f>
        <v>4</v>
      </c>
      <c r="Q26" s="2">
        <f t="shared" si="5"/>
        <v>1</v>
      </c>
      <c r="R26" s="2">
        <f t="shared" si="6"/>
        <v>2</v>
      </c>
      <c r="S26" s="2">
        <f>products!H26</f>
        <v>9</v>
      </c>
      <c r="T26" s="2" t="str">
        <f t="shared" si="7"/>
        <v>Aman</v>
      </c>
      <c r="U26" s="2" t="str">
        <f>VLOOKUP(products!I26,Supplier!$A:$B,2,0)</f>
        <v>Istana Stadion Variasi Mobil</v>
      </c>
    </row>
  </sheetData>
  <autoFilter ref="A1:U26" xr:uid="{00000000-0009-0000-0000-000005000000}"/>
  <conditionalFormatting sqref="T2:T26">
    <cfRule type="cellIs" dxfId="5" priority="2" operator="equal">
      <formula>"Kritis"</formula>
    </cfRule>
    <cfRule type="cellIs" dxfId="4" priority="3" operator="equal">
      <formula>"Menipis"</formula>
    </cfRule>
    <cfRule type="cellIs" dxfId="3" priority="4" operator="equal">
      <formula>"Aman"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20" customWidth="1"/>
    <col min="4" max="4" width="14" customWidth="1"/>
    <col min="5" max="5" width="16" customWidth="1"/>
    <col min="6" max="6" width="14" customWidth="1"/>
    <col min="7" max="7" width="20" customWidth="1"/>
  </cols>
  <sheetData>
    <row r="1" spans="1:7" ht="26.4" x14ac:dyDescent="0.3">
      <c r="A1" s="1" t="s">
        <v>122</v>
      </c>
      <c r="B1" s="1" t="s">
        <v>0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</row>
    <row r="2" spans="1:7" x14ac:dyDescent="0.3">
      <c r="A2" s="2">
        <v>1</v>
      </c>
      <c r="B2" s="2">
        <v>1</v>
      </c>
      <c r="C2" s="10">
        <f>ROUND(Rekap_Regresi_Linear!N2,2)</f>
        <v>-2.2000000000000002</v>
      </c>
      <c r="D2" s="2">
        <f>Rekap_Regresi_Linear!Q2</f>
        <v>1</v>
      </c>
      <c r="E2" s="2">
        <f>Rekap_Regresi_Linear!R2</f>
        <v>1</v>
      </c>
      <c r="F2" s="2" t="str">
        <f>Rekap_Regresi_Linear!T2</f>
        <v>Aman</v>
      </c>
      <c r="G2" s="4">
        <v>46204.25</v>
      </c>
    </row>
    <row r="3" spans="1:7" x14ac:dyDescent="0.3">
      <c r="A3" s="5">
        <v>2</v>
      </c>
      <c r="B3" s="5">
        <v>2</v>
      </c>
      <c r="C3" s="11">
        <f>ROUND(Rekap_Regresi_Linear!N3,2)</f>
        <v>4.8</v>
      </c>
      <c r="D3" s="5">
        <f>Rekap_Regresi_Linear!Q3</f>
        <v>1</v>
      </c>
      <c r="E3" s="5">
        <f>Rekap_Regresi_Linear!R3</f>
        <v>2</v>
      </c>
      <c r="F3" s="5" t="str">
        <f>Rekap_Regresi_Linear!T3</f>
        <v>Aman</v>
      </c>
      <c r="G3" s="7">
        <v>46204.25</v>
      </c>
    </row>
    <row r="4" spans="1:7" x14ac:dyDescent="0.3">
      <c r="A4" s="2">
        <v>3</v>
      </c>
      <c r="B4" s="2">
        <v>3</v>
      </c>
      <c r="C4" s="10">
        <f>ROUND(Rekap_Regresi_Linear!N4,2)</f>
        <v>-1.1000000000000001</v>
      </c>
      <c r="D4" s="2">
        <f>Rekap_Regresi_Linear!Q4</f>
        <v>1</v>
      </c>
      <c r="E4" s="2">
        <f>Rekap_Regresi_Linear!R4</f>
        <v>1</v>
      </c>
      <c r="F4" s="2" t="str">
        <f>Rekap_Regresi_Linear!T4</f>
        <v>Aman</v>
      </c>
      <c r="G4" s="4">
        <v>46204.25</v>
      </c>
    </row>
    <row r="5" spans="1:7" x14ac:dyDescent="0.3">
      <c r="A5" s="5">
        <v>4</v>
      </c>
      <c r="B5" s="5">
        <v>4</v>
      </c>
      <c r="C5" s="11">
        <f>ROUND(Rekap_Regresi_Linear!N5,2)</f>
        <v>-0.4</v>
      </c>
      <c r="D5" s="5">
        <f>Rekap_Regresi_Linear!Q5</f>
        <v>1</v>
      </c>
      <c r="E5" s="5">
        <f>Rekap_Regresi_Linear!R5</f>
        <v>1</v>
      </c>
      <c r="F5" s="5" t="str">
        <f>Rekap_Regresi_Linear!T5</f>
        <v>Aman</v>
      </c>
      <c r="G5" s="7">
        <v>46204.25</v>
      </c>
    </row>
    <row r="6" spans="1:7" x14ac:dyDescent="0.3">
      <c r="A6" s="2">
        <v>5</v>
      </c>
      <c r="B6" s="2">
        <v>5</v>
      </c>
      <c r="C6" s="10">
        <f>ROUND(Rekap_Regresi_Linear!N6,2)</f>
        <v>1.5</v>
      </c>
      <c r="D6" s="2">
        <f>Rekap_Regresi_Linear!Q6</f>
        <v>1</v>
      </c>
      <c r="E6" s="2">
        <f>Rekap_Regresi_Linear!R6</f>
        <v>2</v>
      </c>
      <c r="F6" s="2" t="str">
        <f>Rekap_Regresi_Linear!T6</f>
        <v>Aman</v>
      </c>
      <c r="G6" s="4">
        <v>46204.25</v>
      </c>
    </row>
    <row r="7" spans="1:7" x14ac:dyDescent="0.3">
      <c r="A7" s="5">
        <v>6</v>
      </c>
      <c r="B7" s="5">
        <v>6</v>
      </c>
      <c r="C7" s="11">
        <f>ROUND(Rekap_Regresi_Linear!N7,2)</f>
        <v>0.9</v>
      </c>
      <c r="D7" s="5">
        <f>Rekap_Regresi_Linear!Q7</f>
        <v>1</v>
      </c>
      <c r="E7" s="5">
        <f>Rekap_Regresi_Linear!R7</f>
        <v>2</v>
      </c>
      <c r="F7" s="5" t="str">
        <f>Rekap_Regresi_Linear!T7</f>
        <v>Aman</v>
      </c>
      <c r="G7" s="7">
        <v>46204.25</v>
      </c>
    </row>
    <row r="8" spans="1:7" x14ac:dyDescent="0.3">
      <c r="A8" s="2">
        <v>7</v>
      </c>
      <c r="B8" s="2">
        <v>7</v>
      </c>
      <c r="C8" s="10">
        <f>ROUND(Rekap_Regresi_Linear!N8,2)</f>
        <v>2.8</v>
      </c>
      <c r="D8" s="2">
        <f>Rekap_Regresi_Linear!Q8</f>
        <v>1</v>
      </c>
      <c r="E8" s="2">
        <f>Rekap_Regresi_Linear!R8</f>
        <v>2</v>
      </c>
      <c r="F8" s="2" t="str">
        <f>Rekap_Regresi_Linear!T8</f>
        <v>Aman</v>
      </c>
      <c r="G8" s="4">
        <v>46204.25</v>
      </c>
    </row>
    <row r="9" spans="1:7" x14ac:dyDescent="0.3">
      <c r="A9" s="5">
        <v>8</v>
      </c>
      <c r="B9" s="5">
        <v>8</v>
      </c>
      <c r="C9" s="11">
        <f>ROUND(Rekap_Regresi_Linear!N9,2)</f>
        <v>0.2</v>
      </c>
      <c r="D9" s="5">
        <f>Rekap_Regresi_Linear!Q9</f>
        <v>1</v>
      </c>
      <c r="E9" s="5">
        <f>Rekap_Regresi_Linear!R9</f>
        <v>2</v>
      </c>
      <c r="F9" s="5" t="str">
        <f>Rekap_Regresi_Linear!T9</f>
        <v>Aman</v>
      </c>
      <c r="G9" s="7">
        <v>46204.25</v>
      </c>
    </row>
    <row r="10" spans="1:7" x14ac:dyDescent="0.3">
      <c r="A10" s="2">
        <v>9</v>
      </c>
      <c r="B10" s="2">
        <v>9</v>
      </c>
      <c r="C10" s="10">
        <f>ROUND(Rekap_Regresi_Linear!N10,2)</f>
        <v>0.8</v>
      </c>
      <c r="D10" s="2">
        <f>Rekap_Regresi_Linear!Q10</f>
        <v>1</v>
      </c>
      <c r="E10" s="2">
        <f>Rekap_Regresi_Linear!R10</f>
        <v>2</v>
      </c>
      <c r="F10" s="2" t="str">
        <f>Rekap_Regresi_Linear!T10</f>
        <v>Aman</v>
      </c>
      <c r="G10" s="4">
        <v>46204.25</v>
      </c>
    </row>
    <row r="11" spans="1:7" x14ac:dyDescent="0.3">
      <c r="A11" s="5">
        <v>10</v>
      </c>
      <c r="B11" s="5">
        <v>10</v>
      </c>
      <c r="C11" s="11">
        <f>ROUND(Rekap_Regresi_Linear!N11,2)</f>
        <v>0</v>
      </c>
      <c r="D11" s="5">
        <f>Rekap_Regresi_Linear!Q11</f>
        <v>1</v>
      </c>
      <c r="E11" s="5">
        <f>Rekap_Regresi_Linear!R11</f>
        <v>1</v>
      </c>
      <c r="F11" s="5" t="str">
        <f>Rekap_Regresi_Linear!T11</f>
        <v>Aman</v>
      </c>
      <c r="G11" s="7">
        <v>46204.25</v>
      </c>
    </row>
    <row r="12" spans="1:7" x14ac:dyDescent="0.3">
      <c r="A12" s="2">
        <v>11</v>
      </c>
      <c r="B12" s="2">
        <v>11</v>
      </c>
      <c r="C12" s="10">
        <f>ROUND(Rekap_Regresi_Linear!N12,2)</f>
        <v>1.8</v>
      </c>
      <c r="D12" s="2">
        <f>Rekap_Regresi_Linear!Q12</f>
        <v>1</v>
      </c>
      <c r="E12" s="2">
        <f>Rekap_Regresi_Linear!R12</f>
        <v>2</v>
      </c>
      <c r="F12" s="2" t="str">
        <f>Rekap_Regresi_Linear!T12</f>
        <v>Aman</v>
      </c>
      <c r="G12" s="4">
        <v>46204.25</v>
      </c>
    </row>
    <row r="13" spans="1:7" x14ac:dyDescent="0.3">
      <c r="A13" s="5">
        <v>12</v>
      </c>
      <c r="B13" s="5">
        <v>12</v>
      </c>
      <c r="C13" s="11">
        <f>ROUND(Rekap_Regresi_Linear!N13,2)</f>
        <v>-0.6</v>
      </c>
      <c r="D13" s="5">
        <f>Rekap_Regresi_Linear!Q13</f>
        <v>1</v>
      </c>
      <c r="E13" s="5">
        <f>Rekap_Regresi_Linear!R13</f>
        <v>1</v>
      </c>
      <c r="F13" s="5" t="str">
        <f>Rekap_Regresi_Linear!T13</f>
        <v>Aman</v>
      </c>
      <c r="G13" s="7">
        <v>46204.25</v>
      </c>
    </row>
    <row r="14" spans="1:7" x14ac:dyDescent="0.3">
      <c r="A14" s="2">
        <v>13</v>
      </c>
      <c r="B14" s="2">
        <v>13</v>
      </c>
      <c r="C14" s="10">
        <f>ROUND(Rekap_Regresi_Linear!N14,2)</f>
        <v>3.1</v>
      </c>
      <c r="D14" s="2">
        <f>Rekap_Regresi_Linear!Q14</f>
        <v>1</v>
      </c>
      <c r="E14" s="2">
        <f>Rekap_Regresi_Linear!R14</f>
        <v>2</v>
      </c>
      <c r="F14" s="2" t="str">
        <f>Rekap_Regresi_Linear!T14</f>
        <v>Aman</v>
      </c>
      <c r="G14" s="4">
        <v>46204.25</v>
      </c>
    </row>
    <row r="15" spans="1:7" x14ac:dyDescent="0.3">
      <c r="A15" s="5">
        <v>14</v>
      </c>
      <c r="B15" s="5">
        <v>14</v>
      </c>
      <c r="C15" s="11">
        <f>ROUND(Rekap_Regresi_Linear!N15,2)</f>
        <v>0</v>
      </c>
      <c r="D15" s="5">
        <f>Rekap_Regresi_Linear!Q15</f>
        <v>1</v>
      </c>
      <c r="E15" s="5">
        <f>Rekap_Regresi_Linear!R15</f>
        <v>1</v>
      </c>
      <c r="F15" s="5" t="str">
        <f>Rekap_Regresi_Linear!T15</f>
        <v>Aman</v>
      </c>
      <c r="G15" s="7">
        <v>46204.25</v>
      </c>
    </row>
    <row r="16" spans="1:7" x14ac:dyDescent="0.3">
      <c r="A16" s="2">
        <v>15</v>
      </c>
      <c r="B16" s="2">
        <v>15</v>
      </c>
      <c r="C16" s="10">
        <f>ROUND(Rekap_Regresi_Linear!N16,2)</f>
        <v>3.8</v>
      </c>
      <c r="D16" s="2">
        <f>Rekap_Regresi_Linear!Q16</f>
        <v>1</v>
      </c>
      <c r="E16" s="2">
        <f>Rekap_Regresi_Linear!R16</f>
        <v>2</v>
      </c>
      <c r="F16" s="2" t="str">
        <f>Rekap_Regresi_Linear!T16</f>
        <v>Aman</v>
      </c>
      <c r="G16" s="4">
        <v>46204.25</v>
      </c>
    </row>
    <row r="17" spans="1:7" x14ac:dyDescent="0.3">
      <c r="A17" s="5">
        <v>16</v>
      </c>
      <c r="B17" s="5">
        <v>16</v>
      </c>
      <c r="C17" s="11">
        <f>ROUND(Rekap_Regresi_Linear!N17,2)</f>
        <v>2.1</v>
      </c>
      <c r="D17" s="5">
        <f>Rekap_Regresi_Linear!Q17</f>
        <v>1</v>
      </c>
      <c r="E17" s="5">
        <f>Rekap_Regresi_Linear!R17</f>
        <v>2</v>
      </c>
      <c r="F17" s="5" t="str">
        <f>Rekap_Regresi_Linear!T17</f>
        <v>Aman</v>
      </c>
      <c r="G17" s="7">
        <v>46204.25</v>
      </c>
    </row>
    <row r="18" spans="1:7" x14ac:dyDescent="0.3">
      <c r="A18" s="2">
        <v>17</v>
      </c>
      <c r="B18" s="2">
        <v>17</v>
      </c>
      <c r="C18" s="10">
        <f>ROUND(Rekap_Regresi_Linear!N18,2)</f>
        <v>1.3</v>
      </c>
      <c r="D18" s="2">
        <f>Rekap_Regresi_Linear!Q18</f>
        <v>1</v>
      </c>
      <c r="E18" s="2">
        <f>Rekap_Regresi_Linear!R18</f>
        <v>2</v>
      </c>
      <c r="F18" s="2" t="str">
        <f>Rekap_Regresi_Linear!T18</f>
        <v>Aman</v>
      </c>
      <c r="G18" s="4">
        <v>46204.25</v>
      </c>
    </row>
    <row r="19" spans="1:7" x14ac:dyDescent="0.3">
      <c r="A19" s="5">
        <v>18</v>
      </c>
      <c r="B19" s="5">
        <v>18</v>
      </c>
      <c r="C19" s="11">
        <f>ROUND(Rekap_Regresi_Linear!N19,2)</f>
        <v>2</v>
      </c>
      <c r="D19" s="5">
        <f>Rekap_Regresi_Linear!Q19</f>
        <v>1</v>
      </c>
      <c r="E19" s="5">
        <f>Rekap_Regresi_Linear!R19</f>
        <v>2</v>
      </c>
      <c r="F19" s="5" t="str">
        <f>Rekap_Regresi_Linear!T19</f>
        <v>Aman</v>
      </c>
      <c r="G19" s="7">
        <v>46204.25</v>
      </c>
    </row>
    <row r="20" spans="1:7" x14ac:dyDescent="0.3">
      <c r="A20" s="2">
        <v>19</v>
      </c>
      <c r="B20" s="2">
        <v>19</v>
      </c>
      <c r="C20" s="10">
        <f>ROUND(Rekap_Regresi_Linear!N20,2)</f>
        <v>-0.2</v>
      </c>
      <c r="D20" s="2">
        <f>Rekap_Regresi_Linear!Q20</f>
        <v>1</v>
      </c>
      <c r="E20" s="2">
        <f>Rekap_Regresi_Linear!R20</f>
        <v>1</v>
      </c>
      <c r="F20" s="2" t="str">
        <f>Rekap_Regresi_Linear!T20</f>
        <v>Aman</v>
      </c>
      <c r="G20" s="4">
        <v>46204.25</v>
      </c>
    </row>
    <row r="21" spans="1:7" x14ac:dyDescent="0.3">
      <c r="A21" s="5">
        <v>20</v>
      </c>
      <c r="B21" s="5">
        <v>20</v>
      </c>
      <c r="C21" s="11">
        <f>ROUND(Rekap_Regresi_Linear!N21,2)</f>
        <v>0.5</v>
      </c>
      <c r="D21" s="5">
        <f>Rekap_Regresi_Linear!Q21</f>
        <v>1</v>
      </c>
      <c r="E21" s="5">
        <f>Rekap_Regresi_Linear!R21</f>
        <v>2</v>
      </c>
      <c r="F21" s="5" t="str">
        <f>Rekap_Regresi_Linear!T21</f>
        <v>Aman</v>
      </c>
      <c r="G21" s="7">
        <v>46204.25</v>
      </c>
    </row>
    <row r="22" spans="1:7" x14ac:dyDescent="0.3">
      <c r="A22" s="2">
        <v>21</v>
      </c>
      <c r="B22" s="2">
        <v>21</v>
      </c>
      <c r="C22" s="10">
        <f>ROUND(Rekap_Regresi_Linear!N22,2)</f>
        <v>1.1000000000000001</v>
      </c>
      <c r="D22" s="2">
        <f>Rekap_Regresi_Linear!Q22</f>
        <v>1</v>
      </c>
      <c r="E22" s="2">
        <f>Rekap_Regresi_Linear!R22</f>
        <v>2</v>
      </c>
      <c r="F22" s="2" t="str">
        <f>Rekap_Regresi_Linear!T22</f>
        <v>Aman</v>
      </c>
      <c r="G22" s="4">
        <v>46204.25</v>
      </c>
    </row>
    <row r="23" spans="1:7" x14ac:dyDescent="0.3">
      <c r="A23" s="5">
        <v>22</v>
      </c>
      <c r="B23" s="5">
        <v>22</v>
      </c>
      <c r="C23" s="11">
        <f>ROUND(Rekap_Regresi_Linear!N23,2)</f>
        <v>0</v>
      </c>
      <c r="D23" s="5">
        <f>Rekap_Regresi_Linear!Q23</f>
        <v>1</v>
      </c>
      <c r="E23" s="5">
        <f>Rekap_Regresi_Linear!R23</f>
        <v>1</v>
      </c>
      <c r="F23" s="5" t="str">
        <f>Rekap_Regresi_Linear!T23</f>
        <v>Aman</v>
      </c>
      <c r="G23" s="7">
        <v>46204.25</v>
      </c>
    </row>
    <row r="24" spans="1:7" x14ac:dyDescent="0.3">
      <c r="A24" s="2">
        <v>23</v>
      </c>
      <c r="B24" s="2">
        <v>23</v>
      </c>
      <c r="C24" s="10">
        <f>ROUND(Rekap_Regresi_Linear!N24,2)</f>
        <v>-0.1</v>
      </c>
      <c r="D24" s="2">
        <f>Rekap_Regresi_Linear!Q24</f>
        <v>1</v>
      </c>
      <c r="E24" s="2">
        <f>Rekap_Regresi_Linear!R24</f>
        <v>1</v>
      </c>
      <c r="F24" s="2" t="str">
        <f>Rekap_Regresi_Linear!T24</f>
        <v>Aman</v>
      </c>
      <c r="G24" s="4">
        <v>46204.25</v>
      </c>
    </row>
    <row r="25" spans="1:7" x14ac:dyDescent="0.3">
      <c r="A25" s="5">
        <v>24</v>
      </c>
      <c r="B25" s="5">
        <v>24</v>
      </c>
      <c r="C25" s="11">
        <f>ROUND(Rekap_Regresi_Linear!N25,2)</f>
        <v>3.6</v>
      </c>
      <c r="D25" s="5">
        <f>Rekap_Regresi_Linear!Q25</f>
        <v>1</v>
      </c>
      <c r="E25" s="5">
        <f>Rekap_Regresi_Linear!R25</f>
        <v>2</v>
      </c>
      <c r="F25" s="5" t="str">
        <f>Rekap_Regresi_Linear!T25</f>
        <v>Aman</v>
      </c>
      <c r="G25" s="7">
        <v>46204.25</v>
      </c>
    </row>
    <row r="26" spans="1:7" x14ac:dyDescent="0.3">
      <c r="A26" s="2">
        <v>25</v>
      </c>
      <c r="B26" s="2">
        <v>25</v>
      </c>
      <c r="C26" s="10">
        <f>ROUND(Rekap_Regresi_Linear!N26,2)</f>
        <v>3.7</v>
      </c>
      <c r="D26" s="2">
        <f>Rekap_Regresi_Linear!Q26</f>
        <v>1</v>
      </c>
      <c r="E26" s="2">
        <f>Rekap_Regresi_Linear!R26</f>
        <v>2</v>
      </c>
      <c r="F26" s="2" t="str">
        <f>Rekap_Regresi_Linear!T26</f>
        <v>Aman</v>
      </c>
      <c r="G26" s="4">
        <v>46204.25</v>
      </c>
    </row>
  </sheetData>
  <autoFilter ref="A1:G26" xr:uid="{00000000-0009-0000-0000-000006000000}"/>
  <conditionalFormatting sqref="F2:F26">
    <cfRule type="cellIs" dxfId="2" priority="2" operator="equal">
      <formula>"Kritis"</formula>
    </cfRule>
    <cfRule type="cellIs" dxfId="1" priority="3" operator="equal">
      <formula>"Menipis"</formula>
    </cfRule>
    <cfRule type="cellIs" dxfId="0" priority="4" operator="equal">
      <formula>"Aman"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sales</vt:lpstr>
      <vt:lpstr>purchases</vt:lpstr>
      <vt:lpstr>Supplier</vt:lpstr>
      <vt:lpstr>Rekap_Penjualan_Bulanan</vt:lpstr>
      <vt:lpstr>Rekap_Regresi_Linear</vt:lpstr>
      <vt:lpstr>inventory_controls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Buds</dc:creator>
  <dc:description/>
  <cp:lastModifiedBy>Gilang Budi Permana</cp:lastModifiedBy>
  <cp:revision>0</cp:revision>
  <dcterms:created xsi:type="dcterms:W3CDTF">2026-07-02T19:53:02Z</dcterms:created>
  <dcterms:modified xsi:type="dcterms:W3CDTF">2026-07-02T19:56:34Z</dcterms:modified>
  <dc:language>en-US</dc:language>
</cp:coreProperties>
</file>